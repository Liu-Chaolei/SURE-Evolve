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结果" sheetId="1" r:id="rId1"/>
    <sheet name="统计口径" sheetId="2" r:id="rId2"/>
  </sheets>
  <definedNames>
    <definedName name="_xlnm.Print_Area" localSheetId="0">实验结果!$A$1:$F$15</definedName>
    <definedName name="_xlnm.Print_Titles" localSheetId="0">实验结果!$4:$4</definedName>
  </definedNames>
  <calcPr calcId="124519" fullCalcOnLoad="1"/>
</workbook>
</file>

<file path=xl/sharedStrings.xml><?xml version="1.0" encoding="utf-8"?>
<sst xmlns="http://schemas.openxmlformats.org/spreadsheetml/2006/main" count="63" uniqueCount="56">
  <si>
    <t>TTS 自进化实验结果汇总</t>
  </si>
  <si>
    <t>TTS-Direct-v11｜WenetSpeech4TTS-Premium 搜索集 400 条｜CER 越低越好｜正值表示相对微调基线改善</t>
  </si>
  <si>
    <t>候选</t>
  </si>
  <si>
    <t>改进策略与实际执行</t>
  </si>
  <si>
    <t>是否重新训练</t>
  </si>
  <si>
    <t>CER ↓</t>
  </si>
  <si>
    <t>相对基线降低的百分点</t>
  </si>
  <si>
    <t>相对错误率降低</t>
  </si>
  <si>
    <t>微调基线</t>
  </si>
  <si>
    <t>默认结构及推理配置</t>
  </si>
  <si>
    <t>50 epoch</t>
  </si>
  <si>
    <t>—</t>
  </si>
  <si>
    <t>R1-C1</t>
  </si>
  <si>
    <t>文本嵌入模块的卷积层数 4→6，加强局部文本特征建模</t>
  </si>
  <si>
    <t>R1-C2</t>
  </si>
  <si>
    <t>开启注意力掩码，attn_mask_enabled=false→true</t>
  </si>
  <si>
    <t>R1-C3</t>
  </si>
  <si>
    <t>DiT 深度 22→24，增加全局建模容量</t>
  </si>
  <si>
    <t>R2-C1</t>
  </si>
  <si>
    <t>在 R1-C1 模型上把 NFE 32→24，尝试降低采样成本</t>
  </si>
  <si>
    <t>否</t>
  </si>
  <si>
    <t>R2-C2</t>
  </si>
  <si>
    <t>在 R1-C1 模型上把 CFG 2.0→2.5</t>
  </si>
  <si>
    <t>R2-C3</t>
  </si>
  <si>
    <t>基础 22 层、4 卷积层结构上增加时间差分辅助损失，权重 0.1</t>
  </si>
  <si>
    <t>说明：使用原始精度计算差值，显示时四舍五入；“百分点”与“相对错误率降低”不是同一单位。</t>
  </si>
  <si>
    <t>R2-C1、R2-C2 使用 R1-C1 模型进行推理；本表两项改进幅度均统一相对微调基线计算。</t>
  </si>
  <si>
    <t>本表为搜索集结果，不是 Seed-TTS-eval 最终测试结果；新版原生 MCTS 尚未实测的方案未列入。</t>
  </si>
  <si>
    <t>数据与计算口径</t>
  </si>
  <si>
    <t>实验版本</t>
  </si>
  <si>
    <t>TTS-Direct-v11：已完成的两轮、六个候选。</t>
  </si>
  <si>
    <t>模型</t>
  </si>
  <si>
    <t>F5TTS_v1_Base；微调基线和需训练候选均完成 50 epoch。</t>
  </si>
  <si>
    <t>训练数据</t>
  </si>
  <si>
    <t>WenetSpeech4TTS-Premium 准备后的训练分区：365,934 条，约 853.18 小时。</t>
  </si>
  <si>
    <t>本表评测数据</t>
  </si>
  <si>
    <t>Premium 搜索集：400 条，15,263 个计分字符；基线和全部六个候选均无缺失生成。</t>
  </si>
  <si>
    <t>评价方法</t>
  </si>
  <si>
    <t>Paraformer 中文 ASR 转写；16 kHz 单声道评分输入；固定标点归一化；全语料累计 CER=(替换+删除+插入)/参考字符数。</t>
  </si>
  <si>
    <t>CER 数值</t>
  </si>
  <si>
    <t>单元格保存原始小数精度，使用百分比格式显示 4 位小数。</t>
  </si>
  <si>
    <t>百分点降低</t>
  </si>
  <si>
    <t>(基线 CER 小数值 − 候选 CER 小数值) × 100；正数表示改善。</t>
  </si>
  <si>
    <t>(基线 CER − 候选 CER) / 基线 CER；使用百分比格式显示；负数表示退化。</t>
  </si>
  <si>
    <t>对比基线</t>
  </si>
  <si>
    <t>本表使用历史微调基线 CER=2.2800235864508944%。不使用独立八分片配对复测的 2.2145%。</t>
  </si>
  <si>
    <t>第二轮推理候选</t>
  </si>
  <si>
    <t>R2-C1 和 R2-C2 的父模型为 R1-C1。R2-C2 虽然优于原始微调基线，但没有超过 R1-C1。</t>
  </si>
  <si>
    <t>独立测试集</t>
  </si>
  <si>
    <t>Seed-TTS-eval 中文保留集共 2,020 条；本表不包含其最终测试结果。</t>
  </si>
  <si>
    <t>未训练的新方案</t>
  </si>
  <si>
    <t>新版原生 MCTS 仅通过方案审核但尚无训练 CER 的候选，不计入本表。</t>
  </si>
  <si>
    <t>基线记录</t>
  </si>
  <si>
    <t>/shared/chaolei.liu/SURE-Evolve/runs/f5tts_premium_evolution_20260913_v10_bf16_50ep/search/workspace/exp_1_draft/metric/report.json</t>
  </si>
  <si>
    <t>候选记录</t>
  </si>
  <si>
    <t>/shared/chaolei.liu/SURE-Evolve/runs/f5tts_premium_evolution_20260914_v11_direct/search/workspace；对应 exp_0、exp_1、exp_2、exp_4、exp_5、exp_6_improve。</t>
  </si>
</sst>
</file>

<file path=xl/styles.xml><?xml version="1.0" encoding="utf-8"?>
<styleSheet xmlns="http://schemas.openxmlformats.org/spreadsheetml/2006/main">
  <numFmts count="3">
    <numFmt numFmtId="164" formatCode="0.0000%"/>
    <numFmt numFmtId="165" formatCode="[Green]+0.0000;[Red]-0.0000;0.0000"/>
    <numFmt numFmtId="166" formatCode="[Green]+0.00%;[Red]-0.00%;0.00%"/>
  </numFmts>
  <fonts count="5">
    <font>
      <sz val="11"/>
      <color theme="1"/>
      <name val="Calibri"/>
      <family val="2"/>
      <scheme val="minor"/>
    </font>
    <font>
      <b/>
      <sz val="18"/>
      <color rgb="FFFFFFFF"/>
      <name val="Microsoft YaHei"/>
      <family val="2"/>
    </font>
    <font>
      <sz val="11"/>
      <color rgb="FF516174"/>
      <name val="Microsoft YaHei"/>
      <family val="2"/>
    </font>
    <font>
      <sz val="11"/>
      <color theme="1"/>
      <name val="Microsoft YaHei"/>
      <family val="2"/>
    </font>
    <font>
      <b/>
      <sz val="11"/>
      <color rgb="FF176139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/>
    <dxf/>
    <dxf>
      <numFmt numFmtId="164" formatCode="0.0000%"/>
    </dxf>
    <dxf>
      <numFmt numFmtId="165" formatCode="[Green]+0.0000;[Red]-0.0000;0.0000"/>
    </dxf>
    <dxf>
      <numFmt numFmtId="166" formatCode="[Green]+0.00%;[Red]-0.00%;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TSResults" displayName="TTSResults" ref="A4:F11" totalsRowShown="0">
  <autoFilter ref="A4:F11"/>
  <tableColumns count="6">
    <tableColumn id="1" name="候选" dataDxfId="0"/>
    <tableColumn id="2" name="改进策略与实际执行" dataDxfId="1"/>
    <tableColumn id="3" name="是否重新训练" dataDxfId="0"/>
    <tableColumn id="4" name="CER ↓" dataDxfId="2"/>
    <tableColumn id="5" name="相对基线降低的百分点" dataDxfId="3"/>
    <tableColumn id="6" name="相对错误率降低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78.7109375" customWidth="1"/>
    <col min="3" max="3" width="19.7109375" customWidth="1"/>
    <col min="4" max="4" width="16.7109375" customWidth="1"/>
    <col min="5" max="5" width="27.7109375" customWidth="1"/>
    <col min="6" max="6" width="23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4" spans="1:6" ht="32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ht="48" customHeight="1">
      <c r="A5" s="3" t="s">
        <v>8</v>
      </c>
      <c r="B5" s="4" t="s">
        <v>9</v>
      </c>
      <c r="C5" s="3" t="s">
        <v>10</v>
      </c>
      <c r="D5" s="5">
        <v>0.02280023586450894</v>
      </c>
      <c r="E5" s="3" t="s">
        <v>11</v>
      </c>
      <c r="F5" s="3" t="s">
        <v>11</v>
      </c>
    </row>
    <row r="6" spans="1:6" ht="48" customHeight="1">
      <c r="A6" s="3" t="s">
        <v>12</v>
      </c>
      <c r="B6" s="4" t="s">
        <v>13</v>
      </c>
      <c r="C6" s="3" t="s">
        <v>10</v>
      </c>
      <c r="D6" s="6">
        <v>0.02122780580488764</v>
      </c>
      <c r="E6" s="7">
        <f>($D$5-D6)*100</f>
        <v>0.15724300596213042</v>
      </c>
      <c r="F6" s="8">
        <f>($D$5-D6)/$D$5</f>
        <v>0.06896551724137921</v>
      </c>
    </row>
    <row r="7" spans="1:6" ht="48" customHeight="1">
      <c r="A7" s="3" t="s">
        <v>14</v>
      </c>
      <c r="B7" s="4" t="s">
        <v>15</v>
      </c>
      <c r="C7" s="3" t="s">
        <v>10</v>
      </c>
      <c r="D7" s="5">
        <v>0.02352093297516871</v>
      </c>
      <c r="E7" s="7">
        <f>($D$5-D7)*100</f>
        <v>-0.07206971106597654</v>
      </c>
      <c r="F7" s="8">
        <f>($D$5-D7)/$D$5</f>
        <v>-0.03160919540229885</v>
      </c>
    </row>
    <row r="8" spans="1:6" ht="48" customHeight="1">
      <c r="A8" s="3" t="s">
        <v>16</v>
      </c>
      <c r="B8" s="4" t="s">
        <v>17</v>
      </c>
      <c r="C8" s="3" t="s">
        <v>10</v>
      </c>
      <c r="D8" s="5">
        <v>0.02293127170281072</v>
      </c>
      <c r="E8" s="7">
        <f>($D$5-D8)*100</f>
        <v>-0.013103583830177679</v>
      </c>
      <c r="F8" s="8">
        <f>($D$5-D8)/$D$5</f>
        <v>-0.005747126436781665</v>
      </c>
    </row>
    <row r="9" spans="1:6" ht="48" customHeight="1">
      <c r="A9" s="3" t="s">
        <v>18</v>
      </c>
      <c r="B9" s="4" t="s">
        <v>19</v>
      </c>
      <c r="C9" s="3" t="s">
        <v>20</v>
      </c>
      <c r="D9" s="5">
        <v>0.02332437921771605</v>
      </c>
      <c r="E9" s="7">
        <f>($D$5-D9)*100</f>
        <v>-0.05241433532071037</v>
      </c>
      <c r="F9" s="8">
        <f>($D$5-D9)/$D$5</f>
        <v>-0.022988505747126506</v>
      </c>
    </row>
    <row r="10" spans="1:6" ht="48" customHeight="1">
      <c r="A10" s="3" t="s">
        <v>21</v>
      </c>
      <c r="B10" s="4" t="s">
        <v>22</v>
      </c>
      <c r="C10" s="3" t="s">
        <v>20</v>
      </c>
      <c r="D10" s="5">
        <v>0.02188298499639652</v>
      </c>
      <c r="E10" s="7">
        <f>($D$5-D10)*100</f>
        <v>0.09172508681124271</v>
      </c>
      <c r="F10" s="8">
        <f>($D$5-D10)/$D$5</f>
        <v>0.040229885057471194</v>
      </c>
    </row>
    <row r="11" spans="1:6" ht="48" customHeight="1">
      <c r="A11" s="3" t="s">
        <v>23</v>
      </c>
      <c r="B11" s="4" t="s">
        <v>24</v>
      </c>
      <c r="C11" s="3" t="s">
        <v>10</v>
      </c>
      <c r="D11" s="5">
        <v>0.02332437921771605</v>
      </c>
      <c r="E11" s="7">
        <f>($D$5-D11)*100</f>
        <v>-0.05241433532071037</v>
      </c>
      <c r="F11" s="8">
        <f>($D$5-D11)/$D$5</f>
        <v>-0.022988505747126506</v>
      </c>
    </row>
    <row r="13" spans="1:6" ht="30" customHeight="1">
      <c r="A13" s="2" t="s">
        <v>25</v>
      </c>
      <c r="B13" s="2"/>
      <c r="C13" s="2"/>
      <c r="D13" s="2"/>
      <c r="E13" s="2"/>
      <c r="F13" s="2"/>
    </row>
    <row r="14" spans="1:6" ht="30" customHeight="1">
      <c r="A14" s="2" t="s">
        <v>26</v>
      </c>
      <c r="B14" s="2"/>
      <c r="C14" s="2"/>
      <c r="D14" s="2"/>
      <c r="E14" s="2"/>
      <c r="F14" s="2"/>
    </row>
    <row r="15" spans="1:6" ht="30" customHeight="1">
      <c r="A15" s="2" t="s">
        <v>27</v>
      </c>
      <c r="B15" s="2"/>
      <c r="C15" s="2"/>
      <c r="D15" s="2"/>
      <c r="E15" s="2"/>
      <c r="F15" s="2"/>
    </row>
  </sheetData>
  <mergeCells count="5">
    <mergeCell ref="A1:F1"/>
    <mergeCell ref="A2:F2"/>
    <mergeCell ref="A13:F13"/>
    <mergeCell ref="A14:F14"/>
    <mergeCell ref="A15:F15"/>
  </mergeCells>
  <pageMargins left="0.7" right="0.7" top="0.75" bottom="0.75" header="0.3" footer="0.3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2" width="105.7109375" customWidth="1"/>
  </cols>
  <sheetData>
    <row r="1" spans="1:2" ht="32" customHeight="1">
      <c r="A1" s="1" t="s">
        <v>28</v>
      </c>
      <c r="B1" s="1"/>
    </row>
    <row r="3" spans="1:2" ht="36" customHeight="1">
      <c r="A3" s="4" t="s">
        <v>29</v>
      </c>
      <c r="B3" s="4" t="s">
        <v>30</v>
      </c>
    </row>
    <row r="4" spans="1:2" ht="36" customHeight="1">
      <c r="A4" s="4" t="s">
        <v>31</v>
      </c>
      <c r="B4" s="4" t="s">
        <v>32</v>
      </c>
    </row>
    <row r="5" spans="1:2" ht="36" customHeight="1">
      <c r="A5" s="4" t="s">
        <v>33</v>
      </c>
      <c r="B5" s="4" t="s">
        <v>34</v>
      </c>
    </row>
    <row r="6" spans="1:2" ht="36" customHeight="1">
      <c r="A6" s="4" t="s">
        <v>35</v>
      </c>
      <c r="B6" s="4" t="s">
        <v>36</v>
      </c>
    </row>
    <row r="7" spans="1:2" ht="36" customHeight="1">
      <c r="A7" s="4" t="s">
        <v>37</v>
      </c>
      <c r="B7" s="4" t="s">
        <v>38</v>
      </c>
    </row>
    <row r="8" spans="1:2" ht="36" customHeight="1">
      <c r="A8" s="4" t="s">
        <v>39</v>
      </c>
      <c r="B8" s="4" t="s">
        <v>40</v>
      </c>
    </row>
    <row r="9" spans="1:2" ht="36" customHeight="1">
      <c r="A9" s="4" t="s">
        <v>41</v>
      </c>
      <c r="B9" s="4" t="s">
        <v>42</v>
      </c>
    </row>
    <row r="10" spans="1:2" ht="36" customHeight="1">
      <c r="A10" s="4" t="s">
        <v>7</v>
      </c>
      <c r="B10" s="4" t="s">
        <v>43</v>
      </c>
    </row>
    <row r="11" spans="1:2" ht="36" customHeight="1">
      <c r="A11" s="4" t="s">
        <v>44</v>
      </c>
      <c r="B11" s="4" t="s">
        <v>45</v>
      </c>
    </row>
    <row r="12" spans="1:2" ht="36" customHeight="1">
      <c r="A12" s="4" t="s">
        <v>46</v>
      </c>
      <c r="B12" s="4" t="s">
        <v>47</v>
      </c>
    </row>
    <row r="13" spans="1:2" ht="36" customHeight="1">
      <c r="A13" s="4" t="s">
        <v>48</v>
      </c>
      <c r="B13" s="4" t="s">
        <v>49</v>
      </c>
    </row>
    <row r="14" spans="1:2" ht="36" customHeight="1">
      <c r="A14" s="4" t="s">
        <v>50</v>
      </c>
      <c r="B14" s="4" t="s">
        <v>51</v>
      </c>
    </row>
    <row r="15" spans="1:2" ht="48" customHeight="1">
      <c r="A15" s="4" t="s">
        <v>52</v>
      </c>
      <c r="B15" s="4" t="s">
        <v>53</v>
      </c>
    </row>
    <row r="16" spans="1:2" ht="48" customHeight="1">
      <c r="A16" s="4" t="s">
        <v>54</v>
      </c>
      <c r="B16" s="4" t="s">
        <v>55</v>
      </c>
    </row>
  </sheetData>
  <mergeCells count="1">
    <mergeCell ref="A1:B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实验结果</vt:lpstr>
      <vt:lpstr>统计口径</vt:lpstr>
      <vt:lpstr>实验结果!Print_Area</vt:lpstr>
      <vt:lpstr>实验结果!Print_Titles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TTS 实验结果汇总</dc:title>
  <dc:subject>Premium 搜索集候选 CER 对比</dc:subject>
  <dc:creator/>
  <cp:lastModifiedBy/>
  <dcterms:created xsi:type="dcterms:W3CDTF">2026-09-17T05:38:11Z</dcterms:created>
  <dcterms:modified xsi:type="dcterms:W3CDTF">2026-09-17T05:38:11Z</dcterms:modified>
</cp:coreProperties>
</file>