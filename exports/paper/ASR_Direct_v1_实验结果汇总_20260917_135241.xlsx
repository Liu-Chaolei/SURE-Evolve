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汇总概览" sheetId="1" r:id="rId1"/>
    <sheet name="实验设置" sheetId="2" r:id="rId2"/>
    <sheet name="候选结果" sheetId="3" r:id="rId3"/>
    <sheet name="结构配置" sheetId="4" r:id="rId4"/>
    <sheet name="逐轮结果" sheetId="5" r:id="rId5"/>
    <sheet name="最优候选详解" sheetId="6" r:id="rId6"/>
    <sheet name="论文文字与说明" sheetId="7" r:id="rId7"/>
    <sheet name="数据来源" sheetId="8" r:id="rId8"/>
  </sheets>
  <definedNames>
    <definedName name="_xlnm.Print_Area" localSheetId="0">汇总概览!$A$1:$L$67</definedName>
    <definedName name="_xlnm.Print_Titles" localSheetId="2">候选结果!$1:$5</definedName>
    <definedName name="_xlnm.Print_Titles" localSheetId="1">实验设置!$1:$5</definedName>
    <definedName name="_xlnm.Print_Titles" localSheetId="7">数据来源!$1:$5</definedName>
    <definedName name="_xlnm.Print_Titles" localSheetId="5">最优候选详解!$1:$5</definedName>
    <definedName name="_xlnm.Print_Titles" localSheetId="0">汇总概览!$1:$5</definedName>
    <definedName name="_xlnm.Print_Titles" localSheetId="3">结构配置!$1:$5</definedName>
    <definedName name="_xlnm.Print_Titles" localSheetId="6">论文文字与说明!$1:$5</definedName>
    <definedName name="_xlnm.Print_Titles" localSheetId="4">逐轮结果!$1:$5</definedName>
  </definedNames>
  <calcPr calcId="124519" fullCalcOnLoad="1"/>
</workbook>
</file>

<file path=xl/sharedStrings.xml><?xml version="1.0" encoding="utf-8"?>
<sst xmlns="http://schemas.openxmlformats.org/spreadsheetml/2006/main" count="1187" uniqueCount="655">
  <si>
    <t>ASR-Direct-v1 实验结果汇总</t>
  </si>
  <si>
    <t>2026-09-17 13:52:41（北京时间）｜当前为搜索集阶段性结果；并非完整 test 结果或新原生 MCTS 部署结果。</t>
  </si>
  <si>
    <t>数据集</t>
  </si>
  <si>
    <t>TED-LIUM Release 3</t>
  </si>
  <si>
    <t>评测口径</t>
  </si>
  <si>
    <t>regular200，7112个参考词</t>
  </si>
  <si>
    <t>已评测候选</t>
  </si>
  <si>
    <t>待评测候选</t>
  </si>
  <si>
    <t>优于 / 劣于 baseline</t>
  </si>
  <si>
    <t>12 / 8</t>
  </si>
  <si>
    <t>当前最优候选</t>
  </si>
  <si>
    <t>exp_16</t>
  </si>
  <si>
    <t>Baseline WER</t>
  </si>
  <si>
    <t>当前最优 WER</t>
  </si>
  <si>
    <t>绝对 WER 降幅（百分点）</t>
  </si>
  <si>
    <t>相对 WER 降幅</t>
  </si>
  <si>
    <t>减少的词错误数</t>
  </si>
  <si>
    <t>最终 selection/test</t>
  </si>
  <si>
    <t>尚无结果，待补充</t>
  </si>
  <si>
    <t>使用提示
1. 候选结果表可筛选、排序，改善指标保留计算公式。
2. 结构配置表给出全部六阶段参数及相对基线的精确增量。
3. 黄色行为待评测；正降幅表示改善，负降幅表示退化。
4. 原生五模式 MCTS 新部署没有混入本表。</t>
  </si>
  <si>
    <t>论文结论范围
当前最优只是在被反复用于搜索的开发集子集上领先。
没有多随机种子或组件消融，不能声称统计显著、单组件因果贡献或 SOTA。
所有候选均16层，不代表参数量或 FLOPs 相同。</t>
  </si>
  <si>
    <t>数据集、训练与评测设置</t>
  </si>
  <si>
    <t>2026-09-17 13:52:41（北京时间）｜时长按当前准备清单统计。</t>
  </si>
  <si>
    <t>类别</t>
  </si>
  <si>
    <t>项目</t>
  </si>
  <si>
    <t>数值 / 配置</t>
  </si>
  <si>
    <t>说明</t>
  </si>
  <si>
    <t>实验范围</t>
  </si>
  <si>
    <t>部署</t>
  </si>
  <si>
    <t>ASR-Direct-v1</t>
  </si>
  <si>
    <t>旧部署：LLM基于survey资料直接生成/评审结构方案，SURE执行训练与评测；不是完整五模式MCTS实验。</t>
  </si>
  <si>
    <t>名称与任务</t>
  </si>
  <si>
    <t>TED-LIUM Release 3；英语ASR</t>
  </si>
  <si>
    <t>TED演讲语音；使用全量训练数据。</t>
  </si>
  <si>
    <t>训练集条数</t>
  </si>
  <si>
    <t>训练集</t>
  </si>
  <si>
    <t>训练集小时数</t>
  </si>
  <si>
    <t>当前manifest统计值，约453.813小时。</t>
  </si>
  <si>
    <t>原始dev条数 / 小时</t>
  </si>
  <si>
    <t>507 / 1.598175</t>
  </si>
  <si>
    <t>原始开发集；不能将其与regular200等同。</t>
  </si>
  <si>
    <t>regular搜索子集</t>
  </si>
  <si>
    <t>200条；7112个归一化参考词</t>
  </si>
  <si>
    <t>本工作簿所有已报告WER均来自该子集。</t>
  </si>
  <si>
    <t>selection选择子集</t>
  </si>
  <si>
    <t>196条</t>
  </si>
  <si>
    <t>与regular按录音分组隔离；最终选择结果尚未产生。</t>
  </si>
  <si>
    <t>test测试集</t>
  </si>
  <si>
    <t>1155条；2.617123小时</t>
  </si>
  <si>
    <t>最终测试结果尚未产生。</t>
  </si>
  <si>
    <t>划分说明</t>
  </si>
  <si>
    <t>regular与selection使用不同录音</t>
  </si>
  <si>
    <t>不是对全部507条dev的简单二分；训练期dev loss的具体使用范围应在论文中单独交代。</t>
  </si>
  <si>
    <t>模型</t>
  </si>
  <si>
    <t>基线</t>
  </si>
  <si>
    <t>icefall regular Zipformer，RNN-T</t>
  </si>
  <si>
    <t>本地从头训练的30 epoch基线；不是官方50 epoch预训练权重。</t>
  </si>
  <si>
    <t>特征</t>
  </si>
  <si>
    <t>80维Fbank</t>
  </si>
  <si>
    <t>依据冻结的数据准备实现。</t>
  </si>
  <si>
    <t>Tokenizer</t>
  </si>
  <si>
    <t>官方Unigram-500</t>
  </si>
  <si>
    <t>保留lowercase监督和&lt;unk&gt;；目录名lang_bpe_500不表示改用了BPE训练算法。</t>
  </si>
  <si>
    <t>训练</t>
  </si>
  <si>
    <t>训练epoch</t>
  </si>
  <si>
    <t>所有候选从头训练，与基线保持相同epoch预算。</t>
  </si>
  <si>
    <t>随机种子</t>
  </si>
  <si>
    <t>当前只有一个训练随机种子。</t>
  </si>
  <si>
    <t>设备与精度</t>
  </si>
  <si>
    <t>4 × Ascend 910B3 / 候选；FP32</t>
  </si>
  <si>
    <t>两个8卡节点最多并行四个候选。</t>
  </si>
  <si>
    <t>动态batch</t>
  </si>
  <si>
    <t>max_duration=900秒/卡</t>
  </si>
  <si>
    <t>不是固定样本条数的batch size。</t>
  </si>
  <si>
    <t>数据增强</t>
  </si>
  <si>
    <t>SpecAugment + MUSAN</t>
  </si>
  <si>
    <t>MUSAN概率0.5，SNR 10–20 dB。</t>
  </si>
  <si>
    <t>Speed perturbation</t>
  </si>
  <si>
    <t>关闭</t>
  </si>
  <si>
    <t>preparation.json中speed_perturbation=false。</t>
  </si>
  <si>
    <t>优化目标与方法</t>
  </si>
  <si>
    <t>保持原始RNN-T目标、优化器和学习率调度</t>
  </si>
  <si>
    <t>只改变允许的四组结构参数。</t>
  </si>
  <si>
    <t>推理</t>
  </si>
  <si>
    <t>模型平均</t>
  </si>
  <si>
    <t>原生平均模型状态，区间(20,30]，avg=10</t>
  </si>
  <si>
    <t>在CPU导出区间平均模型；不是直接使用raw epoch-30，也不是未经说明地平均10个原始epoch权重。</t>
  </si>
  <si>
    <t>解码</t>
  </si>
  <si>
    <t>greedy_search；context=2；最多1符号/帧</t>
  </si>
  <si>
    <t>训练与解码使用同一候选架构和对应平均权重。</t>
  </si>
  <si>
    <t>指标</t>
  </si>
  <si>
    <t>WER实现</t>
  </si>
  <si>
    <t>Whisper English normalization + WeNet WER</t>
  </si>
  <si>
    <t>SURE统一评测；WER越低越好。</t>
  </si>
  <si>
    <t>搜索</t>
  </si>
  <si>
    <t>预算</t>
  </si>
  <si>
    <t>6轮 × 4候选</t>
  </si>
  <si>
    <t>本快照：20个已评测，4个待评测。</t>
  </si>
  <si>
    <t>允许改动</t>
  </si>
  <si>
    <t>阶段层数、编码器宽度、FFN宽度、未掩码通道维度</t>
  </si>
  <si>
    <t>模块定义及连接方式保持固定；每组参数包含六阶段。</t>
  </si>
  <si>
    <t>结构空间边界</t>
  </si>
  <si>
    <t>维度为32的倍数；U≤D；总层数≤20；D≤512；F≤1536</t>
  </si>
  <si>
    <t>实际提交的24个候选总层数均为16。</t>
  </si>
  <si>
    <t>额外消融</t>
  </si>
  <si>
    <t>不运行</t>
  </si>
  <si>
    <t>结果支持完整候选比较，不支持单组件因果归因。</t>
  </si>
  <si>
    <t>研究生成模型</t>
  </si>
  <si>
    <t>R1–R3：gpt-6-astra；R4：glm-5.3-flash</t>
  </si>
  <si>
    <t>R5/R6经优先级路由处理，本次成功生成记录匹配到glm-5.3-flash；详见候选结果与来源。</t>
  </si>
  <si>
    <t>最终评测</t>
  </si>
  <si>
    <t>selection流程</t>
  </si>
  <si>
    <t>baseline + regular搜索排名前2的成功候选</t>
  </si>
  <si>
    <t>六轮结束后执行，不用selection继续改结构。</t>
  </si>
  <si>
    <t>test流程</t>
  </si>
  <si>
    <t>baseline + selection选中的胜者</t>
  </si>
  <si>
    <t>复用冻结平均模型，不追加训练。</t>
  </si>
  <si>
    <t>复现</t>
  </si>
  <si>
    <t>数据协议</t>
  </si>
  <si>
    <t>tedlium3.unigram500.musan.v2</t>
  </si>
  <si>
    <t>完整数据身份见数据来源sheet及preparation.json。</t>
  </si>
  <si>
    <t>数据fingerprint</t>
  </si>
  <si>
    <t>2ae84f59770f44ceea44267880e734ce54f81a0e5c547e886c3a1a8465d6cf40</t>
  </si>
  <si>
    <t>核对输入数据与tokenizer身份。</t>
  </si>
  <si>
    <t>所有候选的策略与基线对比</t>
  </si>
  <si>
    <t>2026-09-17 13:52:41（北京时间）｜WER为百分数显示；降幅为正表示改善，为负表示退化；空白不等于零。</t>
  </si>
  <si>
    <t>论文编号</t>
  </si>
  <si>
    <t>轮次</t>
  </si>
  <si>
    <t>实验编号</t>
  </si>
  <si>
    <t>状态</t>
  </si>
  <si>
    <t>实际策略摘要</t>
  </si>
  <si>
    <t>WER（%）</t>
  </si>
  <si>
    <t>绝对降幅（百分点）</t>
  </si>
  <si>
    <t>相对降幅（%）</t>
  </si>
  <si>
    <t>总词错误数</t>
  </si>
  <si>
    <t>较基线减少错误数</t>
  </si>
  <si>
    <t>与基线比较</t>
  </si>
  <si>
    <t>生成模型</t>
  </si>
  <si>
    <t>原始idea标题</t>
  </si>
  <si>
    <t>Baseline</t>
  </si>
  <si>
    <t>baseline</t>
  </si>
  <si>
    <t>已评测</t>
  </si>
  <si>
    <t>原始regular Zipformer六阶段结构。</t>
  </si>
  <si>
    <t/>
  </si>
  <si>
    <t>不适用</t>
  </si>
  <si>
    <t>Native regular Zipformer baseline</t>
  </si>
  <si>
    <t>R1-C1</t>
  </si>
  <si>
    <t>exp_0</t>
  </si>
  <si>
    <t>将第4阶段的FFN容量重新分配至第3、5阶段。</t>
  </si>
  <si>
    <t>gpt-6-astra</t>
  </si>
  <si>
    <t>Middle-Shoulder FFN Redistribution for Native Zipformer</t>
  </si>
  <si>
    <t>R1-C2</t>
  </si>
  <si>
    <t>exp_1</t>
  </si>
  <si>
    <t>将第6阶段一层移到第3阶段，增加第3、5阶段FFN，并增大第4阶段未掩码维度。</t>
  </si>
  <si>
    <t>Middle-Stage Depth and Bottleneck Reallocation Zipformer</t>
  </si>
  <si>
    <t>R1-C3</t>
  </si>
  <si>
    <t>exp_2</t>
  </si>
  <si>
    <t>将第6阶段一层移到第2阶段，缩窄第4阶段，并重新分配中间FFN和未掩码维度。</t>
  </si>
  <si>
    <t>Balanced Middle-Resolution Zipformer</t>
  </si>
  <si>
    <t>R1-C4</t>
  </si>
  <si>
    <t>exp_3</t>
  </si>
  <si>
    <t>将第4阶段一层移到第2阶段，拓宽第2阶段、缩窄第4阶段，调整FFN及未掩码维度。</t>
  </si>
  <si>
    <t>Balanced Middle-Resolution Zipformer Redistribution</t>
  </si>
  <si>
    <t>R2-C1</t>
  </si>
  <si>
    <t>exp_5</t>
  </si>
  <si>
    <t>将第4阶段一层移到第1阶段，缩窄第4阶段，并强化第3、5阶段FFN。</t>
  </si>
  <si>
    <t>Front-Loaded Balanced Zipformer</t>
  </si>
  <si>
    <t>R2-C2</t>
  </si>
  <si>
    <t>exp_6</t>
  </si>
  <si>
    <t>将第6阶段一层移到第5阶段，强化第3、5阶段FFN和第5阶段未掩码通道。</t>
  </si>
  <si>
    <t>Late-Middle Depth-Balanced Zipformer</t>
  </si>
  <si>
    <t>R2-C3</t>
  </si>
  <si>
    <t>exp_7</t>
  </si>
  <si>
    <t>从第4、6阶段向第2、3阶段分配深度，缩窄第4阶段，强化多个阶段的FFN。</t>
  </si>
  <si>
    <t>Progressive Middle-Stage Zipformer Allocation</t>
  </si>
  <si>
    <t>R2-C4</t>
  </si>
  <si>
    <t>exp_8</t>
  </si>
  <si>
    <t>将前五阶段均设为3层、末阶段设为1层，降低第4阶段宽度并调整分布式容量。</t>
  </si>
  <si>
    <t>Symmetric Middle-Depth Zipformer with Distributed Bottlenecks</t>
  </si>
  <si>
    <t>R3-C1</t>
  </si>
  <si>
    <t>exp_10</t>
  </si>
  <si>
    <t>从第4、6阶段向第2、5阶段分配深度，缩窄第4阶段、拓宽第5阶段。</t>
  </si>
  <si>
    <t>Distributed Middle-Late Zipformer Capacity</t>
  </si>
  <si>
    <t>R3-C2</t>
  </si>
  <si>
    <t>exp_11</t>
  </si>
  <si>
    <t>从第4、6阶段各移一层到第2阶段，同时拓宽第2阶段、缩窄第4阶段。</t>
  </si>
  <si>
    <t>Early-Resolution Depth with Moderated Central Width Zipformer</t>
  </si>
  <si>
    <t>R3-C3</t>
  </si>
  <si>
    <t>exp_12</t>
  </si>
  <si>
    <t>从第4、5阶段向第2、3阶段分配深度，拓宽第5阶段并增加中部未掩码通道。</t>
  </si>
  <si>
    <t>Distributed Middle-Resolution Zipformer</t>
  </si>
  <si>
    <t>R3-C4</t>
  </si>
  <si>
    <t>exp_13</t>
  </si>
  <si>
    <t>将第4阶段一层移到第3阶段，降低中央宽度峰值并拓宽第5阶段。</t>
  </si>
  <si>
    <t>Middle-Resolution Peak Redistribution Zipformer</t>
  </si>
  <si>
    <t>R4-C1</t>
  </si>
  <si>
    <t>exp_15</t>
  </si>
  <si>
    <t>保持深度与编码器宽度，强化第1、2阶段FFN，缩小第4阶段FFN并增大其未掩码维度。</t>
  </si>
  <si>
    <t>glm-5.3-flash</t>
  </si>
  <si>
    <t>Early-FFN Reinforced Native-Depth Zipformer</t>
  </si>
  <si>
    <t>R4-C2</t>
  </si>
  <si>
    <t>将第4阶段一层移到第6阶段；强化第1、3、6阶段FFN，缩小第4阶段FFN，增加第6阶段未掩码通道。</t>
  </si>
  <si>
    <t>Late-Stage Depth and Early FFN Reinforcement Zipformer</t>
  </si>
  <si>
    <t>R4-C3</t>
  </si>
  <si>
    <t>exp_17</t>
  </si>
  <si>
    <t>将第6阶段一层移到第4阶段；强化第3、5阶段FFN，收缩第6阶段FFN及未掩码维度。</t>
  </si>
  <si>
    <t>Central-Depth Concentration with Shouldered Unmasked Pathways Zipformer</t>
  </si>
  <si>
    <t>R4-C4</t>
  </si>
  <si>
    <t>exp_18</t>
  </si>
  <si>
    <t>将第4阶段一层移到第3阶段，强化第3、5阶段FFN与未掩码通道。</t>
  </si>
  <si>
    <t>Stage-3-Deepened Zipformer with Distributed Middle Bottlenecks</t>
  </si>
  <si>
    <t>R5-C1</t>
  </si>
  <si>
    <t>exp_20</t>
  </si>
  <si>
    <t>保持深度与宽度，强化第2阶段FFN及未掩码维度，降低第4阶段FFN。</t>
  </si>
  <si>
    <t>Stage-2 FFN and Bottleneck Reinforcement with Native Depth Zipformer</t>
  </si>
  <si>
    <t>R5-C2</t>
  </si>
  <si>
    <t>exp_21</t>
  </si>
  <si>
    <t>拓宽第2阶段，强化第1、2阶段FFN及第2阶段未掩码通道。</t>
  </si>
  <si>
    <t>Stage-2 Width and Early FFN Reinforcement with Native Depth Zipformer</t>
  </si>
  <si>
    <t>R5-C3</t>
  </si>
  <si>
    <t>exp_22</t>
  </si>
  <si>
    <t>将第6阶段一层移到第2阶段并拓宽第2阶段，调整早期FFN及第4阶段未掩码通道。</t>
  </si>
  <si>
    <t>Early-Stage Depth and Width Reinforcement with Full Central Width Zipformer</t>
  </si>
  <si>
    <t>R5-C4</t>
  </si>
  <si>
    <t>exp_23</t>
  </si>
  <si>
    <t>保持深度与宽度，强化第5、6阶段FFN及第5阶段未掩码通道，降低第4阶段FFN。</t>
  </si>
  <si>
    <t>Late-Tail FFN and Stage-5 Unmasked Reinforcement Zipformer</t>
  </si>
  <si>
    <t>R6-C1</t>
  </si>
  <si>
    <t>exp_25</t>
  </si>
  <si>
    <t>待评测</t>
  </si>
  <si>
    <t>将第4阶段一层移到第5阶段，强化早期与后段FFN，降低第4阶段FFN，并增大第5阶段未掩码维度。</t>
  </si>
  <si>
    <t>Stage-5 Depth and Late-FFN Redistribution with Preserved Stage-6 Reinforcement Zipformer</t>
  </si>
  <si>
    <t>R6-C2</t>
  </si>
  <si>
    <t>exp_26</t>
  </si>
  <si>
    <t>保持深度与宽度，强化第3、5阶段FFN、降低第4阶段FFN，并增大第4阶段未掩码维度。</t>
  </si>
  <si>
    <t>Middle-Late FFN Reinforcement with Native Depth and Stage-4 Unmasked Widening Zipformer</t>
  </si>
  <si>
    <t>R6-C3</t>
  </si>
  <si>
    <t>exp_27</t>
  </si>
  <si>
    <t>从第4、5阶段向第3、6阶段分配深度，强化第1、3阶段FFN及第3、6阶段未掩码通道。</t>
  </si>
  <si>
    <t>Stage-3 Depth and Bottleneck Reinforcement with Late-Tail Moderation Zipformer</t>
  </si>
  <si>
    <t>R6-C4</t>
  </si>
  <si>
    <t>exp_28</t>
  </si>
  <si>
    <t>将第4阶段一层移到第6阶段，强化第1、3、5、6阶段FFN及第5、6阶段未掩码通道。</t>
  </si>
  <si>
    <t>Stage-5 Depth-Preserving Shoulder Reinforcement Zipformer</t>
  </si>
  <si>
    <t>六阶段完整参数与精确增量</t>
  </si>
  <si>
    <t>L=层数，D=编码器宽度，F=FFN宽度，U=未掩码通道数。增量相对baseline；未列出的值不变。右侧可展开逐阶段数值列。</t>
  </si>
  <si>
    <t>L：每阶段层数</t>
  </si>
  <si>
    <t>D：编码器宽度</t>
  </si>
  <si>
    <t>F：FFN宽度</t>
  </si>
  <si>
    <t>U：未掩码通道数</t>
  </si>
  <si>
    <t>总层数</t>
  </si>
  <si>
    <t>相对baseline的精确改动</t>
  </si>
  <si>
    <t>L1</t>
  </si>
  <si>
    <t>L2</t>
  </si>
  <si>
    <t>L3</t>
  </si>
  <si>
    <t>L4</t>
  </si>
  <si>
    <t>L5</t>
  </si>
  <si>
    <t>L6</t>
  </si>
  <si>
    <t>D1</t>
  </si>
  <si>
    <t>D2</t>
  </si>
  <si>
    <t>D3</t>
  </si>
  <si>
    <t>D4</t>
  </si>
  <si>
    <t>D5</t>
  </si>
  <si>
    <t>D6</t>
  </si>
  <si>
    <t>F1</t>
  </si>
  <si>
    <t>F2</t>
  </si>
  <si>
    <t>F3</t>
  </si>
  <si>
    <t>F4</t>
  </si>
  <si>
    <t>F5</t>
  </si>
  <si>
    <t>F6</t>
  </si>
  <si>
    <t>U1</t>
  </si>
  <si>
    <t>U2</t>
  </si>
  <si>
    <t>U3</t>
  </si>
  <si>
    <t>U4</t>
  </si>
  <si>
    <t>U5</t>
  </si>
  <si>
    <t>U6</t>
  </si>
  <si>
    <t>2,2,3,4,3,2</t>
  </si>
  <si>
    <t>192,256,384,512,384,256</t>
  </si>
  <si>
    <t>512,768,1024,1536,1024,768</t>
  </si>
  <si>
    <t>192,192,256,256,256,192</t>
  </si>
  <si>
    <t>无改动</t>
  </si>
  <si>
    <t>512,768,1248,1280,1248,768</t>
  </si>
  <si>
    <t>F3+224, F4-256, F5+224</t>
  </si>
  <si>
    <t>2,2,4,4,3,1</t>
  </si>
  <si>
    <t>512,768,1152,1408,1152,768</t>
  </si>
  <si>
    <t>192,192,256,320,256,192</t>
  </si>
  <si>
    <t>L3+1, L6-1；F3+128, F4-128, F5+128；U4+64</t>
  </si>
  <si>
    <t>2,3,3,4,3,1</t>
  </si>
  <si>
    <t>192,256,384,448,384,256</t>
  </si>
  <si>
    <t>192,192,256,288,256,192</t>
  </si>
  <si>
    <t>L2+1, L6-1；D4-64；F3+128, F4-128, F5+128；U4+32</t>
  </si>
  <si>
    <t>2,3,3,3,3,2</t>
  </si>
  <si>
    <t>192,288,384,448,384,256</t>
  </si>
  <si>
    <t>512,896,1152,1408,1152,768</t>
  </si>
  <si>
    <t>192,224,256,288,256,192</t>
  </si>
  <si>
    <t>L2+1, L4-1；D2+32, D4-64；F2+128, F3+128, F4-128, F5+128；U2+32, U4+32</t>
  </si>
  <si>
    <t>3,2,3,3,3,2</t>
  </si>
  <si>
    <t>192,256,384,480,384,256</t>
  </si>
  <si>
    <t>512,768,1152,1440,1152,768</t>
  </si>
  <si>
    <t>L1+1, L4-1；D4-32；F3+128, F4-96, F5+128；U4+32</t>
  </si>
  <si>
    <t>2,2,3,4,4,1</t>
  </si>
  <si>
    <t>192,192,256,256,288,192</t>
  </si>
  <si>
    <t>L5+1, L6-1；F3+128, F4-128, F5+128；U5+32</t>
  </si>
  <si>
    <t>2,3,4,3,3,1</t>
  </si>
  <si>
    <t>512,896,1152,1440,1152,768</t>
  </si>
  <si>
    <t>L2+1, L3+1, L4-1, L6-1；D4-32；F2+128, F3+128, F4-96, F5+128；U2+32, U4+32</t>
  </si>
  <si>
    <t>3,3,3,3,3,1</t>
  </si>
  <si>
    <t>512,896,1120,1440,1120,768</t>
  </si>
  <si>
    <t>192,224,256,288,288,192</t>
  </si>
  <si>
    <t>L1+1, L2+1, L4-1, L6-1；D4-32；F2+128, F3+96, F4-96, F5+96；U2+32, U4+32, U5+32</t>
  </si>
  <si>
    <t>2,3,3,3,4,1</t>
  </si>
  <si>
    <t>192,256,384,480,416,256</t>
  </si>
  <si>
    <t>512,896,1120,1408,1152,768</t>
  </si>
  <si>
    <t>192,192,256,288,288,192</t>
  </si>
  <si>
    <t>L2+1, L4-1, L5+1, L6-1；D4-32, D5+32；F2+128, F3+96, F4-128, F5+128；U4+32, U5+32</t>
  </si>
  <si>
    <t>2,4,3,3,3,1</t>
  </si>
  <si>
    <t>192,224,256,256,256,192</t>
  </si>
  <si>
    <t>L2+2, L4-1, L6-1；D2+32, D4-64；F2+128, F3+128, F4-128, F5+128；U2+32</t>
  </si>
  <si>
    <t>2,3,4,3,2,2</t>
  </si>
  <si>
    <t>512,896,1248,1408,1120,768</t>
  </si>
  <si>
    <t>192,192,288,288,288,192</t>
  </si>
  <si>
    <t>L2+1, L3+1, L4-1, L5-1；D4-32, D5+32；F2+128, F3+224, F4-128, F5+96；U3+32, U4+32, U5+32</t>
  </si>
  <si>
    <t>2,2,4,3,3,2</t>
  </si>
  <si>
    <t>512,896,1184,1408,1120,768</t>
  </si>
  <si>
    <t>L3+1, L4-1；D4-32, D5+32；F2+128, F3+160, F4-128, F5+96；U3+32, U4+32, U5+32</t>
  </si>
  <si>
    <t>640,896,1024,1408,1024,768</t>
  </si>
  <si>
    <t>F1+128, F2+128, F4-128；U4+32</t>
  </si>
  <si>
    <t>2,2,3,3,3,3</t>
  </si>
  <si>
    <t>640,768,1152,1408,1024,896</t>
  </si>
  <si>
    <t>192,192,256,256,256,224</t>
  </si>
  <si>
    <t>L4-1, L6+1；F1+128, F3+128, F4-128, F6+128；U6+32</t>
  </si>
  <si>
    <t>2,2,3,5,3,1</t>
  </si>
  <si>
    <t>512,768,1152,1536,1152,704</t>
  </si>
  <si>
    <t>192,192,256,256,288,160</t>
  </si>
  <si>
    <t>L4+1, L6-1；F3+128, F5+128, F6-64；U5+32, U6-32</t>
  </si>
  <si>
    <t>512,768,1248,1408,1152,768</t>
  </si>
  <si>
    <t>192,192,288,256,288,192</t>
  </si>
  <si>
    <t>L3+1, L4-1；F3+224, F4-128, F5+128；U3+32, U5+32</t>
  </si>
  <si>
    <t>512,896,1024,1408,1024,768</t>
  </si>
  <si>
    <t>F2+128, F4-128；U2+32</t>
  </si>
  <si>
    <t>192,288,384,512,384,256</t>
  </si>
  <si>
    <t>192,256,256,256,256,192</t>
  </si>
  <si>
    <t>D2+32；F1+128, F2+128, F4-128；U2+64</t>
  </si>
  <si>
    <t>512,896,1152,1408,1024,768</t>
  </si>
  <si>
    <t>L2+1, L6-1；D2+32；F2+128, F3+128, F4-128；U2+32, U4+32</t>
  </si>
  <si>
    <t>512,768,1024,1408,1152,832</t>
  </si>
  <si>
    <t>F4-128, F5+128, F6+64；U5+32</t>
  </si>
  <si>
    <t>2,2,3,3,4,2</t>
  </si>
  <si>
    <t>640,768,1152,1280,1152,832</t>
  </si>
  <si>
    <t>L4-1, L5+1；F1+128, F3+128, F4-256, F5+128, F6+64；U5+32</t>
  </si>
  <si>
    <t>F3+128, F4-128, F5+128；U4+32</t>
  </si>
  <si>
    <t>2,2,4,3,2,3</t>
  </si>
  <si>
    <t>640,768,1280,1408,1024,832</t>
  </si>
  <si>
    <t>192,192,288,256,256,224</t>
  </si>
  <si>
    <t>L3+1, L4-1, L5-1, L6+1；F1+128, F3+256, F4-128, F6+64；U3+32, U6+32</t>
  </si>
  <si>
    <t>640,768,1152,1280,1152,896</t>
  </si>
  <si>
    <t>192,192,256,256,288,224</t>
  </si>
  <si>
    <t>L4-1, L6+1；F1+128, F3+128, F4-256, F5+128, F6+128；U5+32, U6+32</t>
  </si>
  <si>
    <t>逐轮最优结果与搜索轨迹</t>
  </si>
  <si>
    <t>第六轮未完成的分数保持空白；累计最优曲线仅覆盖已完成轮次。</t>
  </si>
  <si>
    <t>计划模型数</t>
  </si>
  <si>
    <t>已评测数</t>
  </si>
  <si>
    <t>轮内最优WER</t>
  </si>
  <si>
    <t>累计最优WER</t>
  </si>
  <si>
    <t>累计相对降幅</t>
  </si>
  <si>
    <t>轮内最优候选</t>
  </si>
  <si>
    <t>第1轮</t>
  </si>
  <si>
    <t>已完成</t>
  </si>
  <si>
    <t>第2轮</t>
  </si>
  <si>
    <t>第3轮</t>
  </si>
  <si>
    <t>第4轮</t>
  </si>
  <si>
    <t>第5轮</t>
  </si>
  <si>
    <t>第6轮</t>
  </si>
  <si>
    <t>未完成</t>
  </si>
  <si>
    <t>当前搜索集最优：exp_16</t>
  </si>
  <si>
    <t>当前最优不是最终selection胜者；效果来自完整结构组合，不能归因到单项。</t>
  </si>
  <si>
    <t>结构参数</t>
  </si>
  <si>
    <t>num-encoder-layers</t>
  </si>
  <si>
    <t>encoder-dim</t>
  </si>
  <si>
    <t>feedforward-dim</t>
  </si>
  <si>
    <t>encoder-unmasked-dim</t>
  </si>
  <si>
    <t>将第4阶段一层移到第6阶段；强化第1、3、6阶段FFN，缩小第4阶段FFN，增加第6阶段未掩码通道。
L4-1, L6+1；F1+128, F3+128, F4-128, F6+128；U6+32</t>
  </si>
  <si>
    <t>regular200 WER：5.6946% → 5.3712%；绝对降低0.3234个百分点，相对降低5.68%。同一7112个参考词上，总错误数405 → 382。
训练：30 epoch，4 NPU，FP32，seed42，duration900；训练与解码方法固定。</t>
  </si>
  <si>
    <t>解释边界：总层数保持16，不代表参数量或FLOPs恒定。第6阶段不是最低时间分辨率阶段，不能沿用原始idea中的这一不准确说法。未掩码通道维度不是编码器输出宽度。没有单组件消融，因此不能将观测到的WER变化独立归因于末端加深或某一个FFN改动。</t>
  </si>
  <si>
    <t>论文草稿、表注与结论边界</t>
  </si>
  <si>
    <t>2026-09-17 13:52:41（北京时间）｜当前为阶段性材料；最终稿需要更新第六轮和selection/test结果。</t>
  </si>
  <si>
    <t>内容</t>
  </si>
  <si>
    <t>可直接使用或核对的文字</t>
  </si>
  <si>
    <t>可用正文草稿</t>
  </si>
  <si>
    <t>我们在TED-LIUM 3英语语音识别任务上评估迭代式架构搜索。以icefall regular Zipformer为基线，在保持原有模块定义和连接方式的条件下，搜索六个编码阶段的层数、隐藏维度、前馈网络维度及未掩码通道维度。基线和各候选均使用全量训练数据，从头训练30个epoch，采用相同随机种子、数据增强、精度和解码设置。候选通过固定的200条开发集搜索子集进行评估。截至本快照，已完成20个候选的训练与评测，其中12个候选优于基线。当前搜索集最优候选将WER从5.6946%降至5.3712%，绝对降低0.3234个百分点，相对降低5.68%。该结果反映了完整结构组合在搜索子集上的表现，尚需最终独立评测验证。</t>
  </si>
  <si>
    <t>投稿前补齐第六轮、selection与test，并去掉不再适用的“截至本快照”等限定。</t>
  </si>
  <si>
    <t>候选表表注</t>
  </si>
  <si>
    <t>所有WER均在同一regular200及统一SURE归一化/评分流程下计算。绝对降幅为WER_baseline−WER_candidate，单位为百分点；相对降幅为该差值除以WER_baseline。正值表示改善。</t>
  </si>
  <si>
    <t>不能把百分点与百分比混用。</t>
  </si>
  <si>
    <t>结构表表注</t>
  </si>
  <si>
    <t>L、D、F、U分别为阶段层数、编码器宽度、FFN宽度、未掩码通道数；下标1～6表示阶段。增量相对baseline；未列出的参数不变。</t>
  </si>
  <si>
    <t>U是训练特征掩码中的保留维度，不是输出宽度。</t>
  </si>
  <si>
    <t>当前可支持结论</t>
  </si>
  <si>
    <t>已评测20个候选中，12个优于baseline、8个劣于baseline。结构变更并不必然改善WER。</t>
  </si>
  <si>
    <t>这是本次搜索的描述统计，不能外推到所有可能结构。</t>
  </si>
  <si>
    <t>不能写成test/SOTA</t>
  </si>
  <si>
    <t>regular200被反复用于自适应搜索。现有数值不是完整dev或test结果，不能据此声称超过官方完整test或达到SOTA。</t>
  </si>
  <si>
    <t>本快照没有最终selection/test结果。</t>
  </si>
  <si>
    <t>组件因果结论</t>
  </si>
  <si>
    <t>没有组件消融。某候选的改善只属于整组结构改动，不能声称某一层数或FFN改动独立贡献了全部收益。</t>
  </si>
  <si>
    <t>不把失败候选当成单组件机制无效的证明。</t>
  </si>
  <si>
    <t>统计与泛化</t>
  </si>
  <si>
    <t>当前仅有seed42；没有置信区间或显著性检验。</t>
  </si>
  <si>
    <t>如需显著性结论，可补充多种子实验或按录音分组的配对bootstrap；本次整理未启动这些实验。</t>
  </si>
  <si>
    <t>selection使用范围</t>
  </si>
  <si>
    <t>regular/selection在录音划分上互斥；仍需核对训练期dev loss实际使用范围，并在论文中如实交代。</t>
  </si>
  <si>
    <t>不能仅凭子集分组就宣称selection从未参与任何开发环节，也不能据此直接认定数据泄漏。</t>
  </si>
  <si>
    <t>研究模型切换</t>
  </si>
  <si>
    <t>R1–R3生成使用gpt-6-astra；R4使用glm-5.3-flash；R5/R6经路由处理，本次成功生成审计匹配到glm-5.3-flash。</t>
  </si>
  <si>
    <t>这不是固定单一LLM的对照实验。个体生成模型见候选结果和数据来源。</t>
  </si>
  <si>
    <t>方法命名</t>
  </si>
  <si>
    <t>本结果属于ASR-Direct-v1：基于survey资料直接生成/评审、SURE执行候选训练和评分。</t>
  </si>
  <si>
    <t>不能写成新部署的完整五模式MCTS实验结果。</t>
  </si>
  <si>
    <t>计算预算</t>
  </si>
  <si>
    <t>固定训练数据、epoch、seed和硬件配置；所有候选总层数为16。</t>
  </si>
  <si>
    <t>宽度与容量分布不同，未核对参数量/FLOPs前不能声称等参数或等算力。</t>
  </si>
  <si>
    <t>待补材料</t>
  </si>
  <si>
    <t>第六轮WER；selection与test结果；最终模型参数量与计算量；明确的训练/验证使用协议；数据集与Zipformer的正式文献引用。</t>
  </si>
  <si>
    <t>待评测单元格留空，不用估计结果替代。</t>
  </si>
  <si>
    <t>原始记录与可追溯来源</t>
  </si>
  <si>
    <t>仅记录路径、哈希和非敏感模型信息；不包含API密钥。路径基于当前共享工作区。</t>
  </si>
  <si>
    <t>类型</t>
  </si>
  <si>
    <t>对象</t>
  </si>
  <si>
    <t>路径 / 请求模型</t>
  </si>
  <si>
    <t>SHA256 / 实际模型</t>
  </si>
  <si>
    <t>部署目录</t>
  </si>
  <si>
    <t>/shared/chaolei.liu/SURE-Evolve/runs/asr_formal_6x4_npu4_v2_recovery_20260914_121324</t>
  </si>
  <si>
    <t>旧部署；新原生MCTS部署未混入。</t>
  </si>
  <si>
    <t>采集时间</t>
  </si>
  <si>
    <t>本工作簿快照</t>
  </si>
  <si>
    <t>2026-09-17 13:52:41（北京时间）</t>
  </si>
  <si>
    <t>输出后主线程可能继续产生新结果；本文件不会自动刷新源数据。</t>
  </si>
  <si>
    <t>候选评分</t>
  </si>
  <si>
    <t>R1-C1 / exp_0</t>
  </si>
  <si>
    <t>/shared/chaolei.liu/SURE-Evolve/runs/asr_formal_6x4_npu4_v2_recovery_20260914_121324/search/workspace/exp_0_improve/metric/score_summary.json</t>
  </si>
  <si>
    <t>40f05f80d1b81ed6d03d473b3bb7f46772e80344a01cfa5e757fc166a3ccfe3c</t>
  </si>
  <si>
    <t>候选结构</t>
  </si>
  <si>
    <t>/shared/chaolei.liu/SURE-Evolve/runs/asr_formal_6x4_npu4_v2_recovery_20260914_121324/search/workspace/exp_0_improve/metric/implementation_source.json</t>
  </si>
  <si>
    <t>e983b9d6b062031c874106c65186a9b694fa3ff876a032fe0055fde12cdca56e</t>
  </si>
  <si>
    <t>sure-c7ac93072ad80e4d9-ordinary-ordinary-r1-candidate-1</t>
  </si>
  <si>
    <t>生成请求记录中的模型名称</t>
  </si>
  <si>
    <t>R1-C2 / exp_1</t>
  </si>
  <si>
    <t>/shared/chaolei.liu/SURE-Evolve/runs/asr_formal_6x4_npu4_v2_recovery_20260914_121324/search/workspace/exp_1_improve/metric/score_summary.json</t>
  </si>
  <si>
    <t>7a6e19e5c2ed8b4a318b0c6c75d34c322e10f8c36d824d2778ade763fc416b13</t>
  </si>
  <si>
    <t>/shared/chaolei.liu/SURE-Evolve/runs/asr_formal_6x4_npu4_v2_recovery_20260914_121324/search/workspace/exp_1_improve/metric/implementation_source.json</t>
  </si>
  <si>
    <t>dca3e41ac28a40831ea1b9c119aa3ba6ef4226f6656421aa75793c18f7daf7f9</t>
  </si>
  <si>
    <t>sure-c7ac93072ad80e4d9-ordinary-ordinary-r1-candidate-2</t>
  </si>
  <si>
    <t>R1-C3 / exp_2</t>
  </si>
  <si>
    <t>/shared/chaolei.liu/SURE-Evolve/runs/asr_formal_6x4_npu4_v2_recovery_20260914_121324/search/workspace/exp_2_improve/metric/score_summary.json</t>
  </si>
  <si>
    <t>45add9ad3fd00580de21f89003080ae3db12aca3b815ed742a6843ed2d52878e</t>
  </si>
  <si>
    <t>/shared/chaolei.liu/SURE-Evolve/runs/asr_formal_6x4_npu4_v2_recovery_20260914_121324/search/workspace/exp_2_improve/metric/implementation_source.json</t>
  </si>
  <si>
    <t>bdcbb580235434473fea1c63be7414a6d07c5426c421bda9c8d6d263fcf20007</t>
  </si>
  <si>
    <t>sure-c7ac93072ad80e4d9-ordinary-ordinary-r1-candidate-3</t>
  </si>
  <si>
    <t>R1-C4 / exp_3</t>
  </si>
  <si>
    <t>/shared/chaolei.liu/SURE-Evolve/runs/asr_formal_6x4_npu4_v2_recovery_20260914_121324/search/workspace/exp_3_improve/metric/score_summary.json</t>
  </si>
  <si>
    <t>5b043eb8dd001e3a638bcbe71da3242e017e77f9bfda0ef184302ee71e8b3ff1</t>
  </si>
  <si>
    <t>/shared/chaolei.liu/SURE-Evolve/runs/asr_formal_6x4_npu4_v2_recovery_20260914_121324/search/workspace/exp_3_improve/metric/implementation_source.json</t>
  </si>
  <si>
    <t>5d0c06fa152194e32bceeb6edc721f57b833c60ff3e64c9486b572ae6b4b2e20</t>
  </si>
  <si>
    <t>sure-c7ac93072ad80e4d9-ordinary-ordinary-r1-candidate-4</t>
  </si>
  <si>
    <t>R2-C1 / exp_5</t>
  </si>
  <si>
    <t>/shared/chaolei.liu/SURE-Evolve/runs/asr_formal_6x4_npu4_v2_recovery_20260914_121324/search/workspace/exp_5_improve/metric/score_summary.json</t>
  </si>
  <si>
    <t>5ce2eb927200fe29a94389fda6024fe422e7daa691b8f84adee1924452a5be71</t>
  </si>
  <si>
    <t>/shared/chaolei.liu/SURE-Evolve/runs/asr_formal_6x4_npu4_v2_recovery_20260914_121324/search/workspace/exp_5_improve/metric/implementation_source.json</t>
  </si>
  <si>
    <t>695e90fcef2ae5333f8e586f42fc4d229456a9d5b574be495bcf1ce2beb9d26f</t>
  </si>
  <si>
    <t>sure-c7ac93072ad80e4d9-ordinary-ordinary-r2-candidate-1</t>
  </si>
  <si>
    <t>R2-C2 / exp_6</t>
  </si>
  <si>
    <t>/shared/chaolei.liu/SURE-Evolve/runs/asr_formal_6x4_npu4_v2_recovery_20260914_121324/search/workspace/exp_6_improve/metric/score_summary.json</t>
  </si>
  <si>
    <t>631de41fc2819eca473a60a3be91a329e90d03dcd5e1902557de2c06a3c9e4e3</t>
  </si>
  <si>
    <t>/shared/chaolei.liu/SURE-Evolve/runs/asr_formal_6x4_npu4_v2_recovery_20260914_121324/search/workspace/exp_6_improve/metric/implementation_source.json</t>
  </si>
  <si>
    <t>3f8b46af6c9cc231ebea8378a26459eabbea073a4111fcb6753aa93eb108ccad</t>
  </si>
  <si>
    <t>sure-c7ac93072ad80e4d9-ordinary-ordinary-r2-candidate-2</t>
  </si>
  <si>
    <t>R2-C3 / exp_7</t>
  </si>
  <si>
    <t>/shared/chaolei.liu/SURE-Evolve/runs/asr_formal_6x4_npu4_v2_recovery_20260914_121324/search/workspace/exp_7_improve/metric/score_summary.json</t>
  </si>
  <si>
    <t>e8c058cebf122afc85fad25462570c7816ff7be89133a4aec3c51fc323123858</t>
  </si>
  <si>
    <t>/shared/chaolei.liu/SURE-Evolve/runs/asr_formal_6x4_npu4_v2_recovery_20260914_121324/search/workspace/exp_7_improve/metric/implementation_source.json</t>
  </si>
  <si>
    <t>7b99e34ea27566a50ddc9af5124e40ca47fd82e7ce7cdd9e11805a382642bb15</t>
  </si>
  <si>
    <t>sure-c7ac93072ad80e4d9-ordinary-ordinary-r2-candidate-3</t>
  </si>
  <si>
    <t>R2-C4 / exp_8</t>
  </si>
  <si>
    <t>/shared/chaolei.liu/SURE-Evolve/runs/asr_formal_6x4_npu4_v2_recovery_20260914_121324/search/workspace/exp_8_improve/metric/score_summary.json</t>
  </si>
  <si>
    <t>e62a360e686f5c916edea3f54603b528cc3ba1491ca01a441633521b153dd762</t>
  </si>
  <si>
    <t>/shared/chaolei.liu/SURE-Evolve/runs/asr_formal_6x4_npu4_v2_recovery_20260914_121324/search/workspace/exp_8_improve/metric/implementation_source.json</t>
  </si>
  <si>
    <t>69db8bdbc780d3bae9652f91e4c849b69c1da47b5257186e06de97817c1825f5</t>
  </si>
  <si>
    <t>sure-c7ac93072ad80e4d9-ordinary-ordinary-r2-candidate-4</t>
  </si>
  <si>
    <t>R3-C1 / exp_10</t>
  </si>
  <si>
    <t>/shared/chaolei.liu/SURE-Evolve/runs/asr_formal_6x4_npu4_v2_recovery_20260914_121324/search/workspace/exp_10_improve/metric/score_summary.json</t>
  </si>
  <si>
    <t>6f85ec87973d09412665649c4383d41bdc1750391f4cab80e7c3c5eca3ee90e4</t>
  </si>
  <si>
    <t>/shared/chaolei.liu/SURE-Evolve/runs/asr_formal_6x4_npu4_v2_recovery_20260914_121324/search/workspace/exp_10_improve/metric/implementation_source.json</t>
  </si>
  <si>
    <t>ff3aa9c110cb6d1510253db23d6a7cd317d06b285e998f4b879118c037b089ee</t>
  </si>
  <si>
    <t>sure-c7ac93072ad80e4d9-ordinary-ordinary-r3-candidate-1</t>
  </si>
  <si>
    <t>R3-C2 / exp_11</t>
  </si>
  <si>
    <t>/shared/chaolei.liu/SURE-Evolve/runs/asr_formal_6x4_npu4_v2_recovery_20260914_121324/search/workspace/exp_11_improve/metric/score_summary.json</t>
  </si>
  <si>
    <t>28ff5178a39584e1cbae78ca756376c25f7a92e3ae8ca5074187bd01b065f847</t>
  </si>
  <si>
    <t>/shared/chaolei.liu/SURE-Evolve/runs/asr_formal_6x4_npu4_v2_recovery_20260914_121324/search/workspace/exp_11_improve/metric/implementation_source.json</t>
  </si>
  <si>
    <t>7f3be4a90698019b41a244872ce8b6a68a2e6fe083bc6c2800f01545af778d0d</t>
  </si>
  <si>
    <t>sure-c7ac93072ad80e4d9-ordinary-ordinary-r3-candidate-2</t>
  </si>
  <si>
    <t>R3-C3 / exp_12</t>
  </si>
  <si>
    <t>/shared/chaolei.liu/SURE-Evolve/runs/asr_formal_6x4_npu4_v2_recovery_20260914_121324/search/workspace/exp_12_improve/metric/score_summary.json</t>
  </si>
  <si>
    <t>9e337d3ee90f9ed48cd5ee26bf166716eb02f74cdf1ba6cf0bc3e89d1248fc44</t>
  </si>
  <si>
    <t>/shared/chaolei.liu/SURE-Evolve/runs/asr_formal_6x4_npu4_v2_recovery_20260914_121324/search/workspace/exp_12_improve/metric/implementation_source.json</t>
  </si>
  <si>
    <t>8cafd08d2412be2d62e662721a000977ba845917a3e9d627df49ef9d660950d0</t>
  </si>
  <si>
    <t>sure-c7ac93072ad80e4d9-ordinary-ordinary-r3-candidate-3</t>
  </si>
  <si>
    <t>R3-C4 / exp_13</t>
  </si>
  <si>
    <t>/shared/chaolei.liu/SURE-Evolve/runs/asr_formal_6x4_npu4_v2_recovery_20260914_121324/search/workspace/exp_13_improve/metric/score_summary.json</t>
  </si>
  <si>
    <t>7483c16f476148c27b92afa6db6775735263a81c330bf473f351c90dcfed2662</t>
  </si>
  <si>
    <t>/shared/chaolei.liu/SURE-Evolve/runs/asr_formal_6x4_npu4_v2_recovery_20260914_121324/search/workspace/exp_13_improve/metric/implementation_source.json</t>
  </si>
  <si>
    <t>ddc9c65864409c334d3b03bb65ba8290fba43dfcdf25b0ea28066211cb737529</t>
  </si>
  <si>
    <t>sure-c7ac93072ad80e4d9-ordinary-ordinary-r3-candidate-4</t>
  </si>
  <si>
    <t>R4-C1 / exp_15</t>
  </si>
  <si>
    <t>/shared/chaolei.liu/SURE-Evolve/runs/asr_formal_6x4_npu4_v2_recovery_20260914_121324/search/workspace/exp_15_improve/metric/score_summary.json</t>
  </si>
  <si>
    <t>adbc1dda91d1b8b63de98c1de5d53dd6e13a490aebd044d1691b6b7dd3df207e</t>
  </si>
  <si>
    <t>/shared/chaolei.liu/SURE-Evolve/runs/asr_formal_6x4_npu4_v2_recovery_20260914_121324/search/workspace/exp_15_improve/metric/implementation_source.json</t>
  </si>
  <si>
    <t>3bdc61bf4e54419449099cd879a28f7fd276585d53f9310822f8152ae77d0ae6</t>
  </si>
  <si>
    <t>sure-c7ac93072ad80e4d9-ordinary-ordinary-r4-candidate-1</t>
  </si>
  <si>
    <t>R4-C2 / exp_16</t>
  </si>
  <si>
    <t>/shared/chaolei.liu/SURE-Evolve/runs/asr_formal_6x4_npu4_v2_recovery_20260914_121324/search/workspace/exp_16_improve/metric/score_summary.json</t>
  </si>
  <si>
    <t>2f6e8fc1d949716079ab9d8838b125f812a20144984e886ecbc354b6e84ae148</t>
  </si>
  <si>
    <t>/shared/chaolei.liu/SURE-Evolve/runs/asr_formal_6x4_npu4_v2_recovery_20260914_121324/search/workspace/exp_16_improve/metric/implementation_source.json</t>
  </si>
  <si>
    <t>62ca8ef57154cda1c42d886ddfa1cb74877751c35dac3f3d05d100b685ad9d7b</t>
  </si>
  <si>
    <t>sure-c7ac93072ad80e4d9-ordinary-ordinary-r4-candidate-2</t>
  </si>
  <si>
    <t>R4-C3 / exp_17</t>
  </si>
  <si>
    <t>/shared/chaolei.liu/SURE-Evolve/runs/asr_formal_6x4_npu4_v2_recovery_20260914_121324/search/workspace/exp_17_improve/metric/score_summary.json</t>
  </si>
  <si>
    <t>0fb267faa8b4e2e370e8883a0ca35c20bfc7253562c6a9ea5b3e1d4f59f301cc</t>
  </si>
  <si>
    <t>/shared/chaolei.liu/SURE-Evolve/runs/asr_formal_6x4_npu4_v2_recovery_20260914_121324/search/workspace/exp_17_improve/metric/implementation_source.json</t>
  </si>
  <si>
    <t>a28ad58533449751da367de1726c7d0361bdf5ed33df0cfbf7103f73d482fb65</t>
  </si>
  <si>
    <t>sure-c7ac93072ad80e4d9-ordinary-ordinary-r4-candidate-3</t>
  </si>
  <si>
    <t>R4-C4 / exp_18</t>
  </si>
  <si>
    <t>/shared/chaolei.liu/SURE-Evolve/runs/asr_formal_6x4_npu4_v2_recovery_20260914_121324/search/workspace/exp_18_improve/metric/score_summary.json</t>
  </si>
  <si>
    <t>073f5074687dc5a2ad502da9daacf5eb3a207871b76b93790dfdc1505d041b6f</t>
  </si>
  <si>
    <t>/shared/chaolei.liu/SURE-Evolve/runs/asr_formal_6x4_npu4_v2_recovery_20260914_121324/search/workspace/exp_18_improve/metric/implementation_source.json</t>
  </si>
  <si>
    <t>bf198a076ded8f4d23374891a178685756e15899a5834b3cf8c3bc7fad190ef6</t>
  </si>
  <si>
    <t>sure-c7ac93072ad80e4d9-ordinary-ordinary-r4-candidate-4</t>
  </si>
  <si>
    <t>R5-C1 / exp_20</t>
  </si>
  <si>
    <t>/shared/chaolei.liu/SURE-Evolve/runs/asr_formal_6x4_npu4_v2_recovery_20260914_121324/search/workspace/exp_20_improve/metric/score_summary.json</t>
  </si>
  <si>
    <t>a6fde28e0f15b495c671223c31522da49b556075d00f27175db9d3c0178b3cc6</t>
  </si>
  <si>
    <t>/shared/chaolei.liu/SURE-Evolve/runs/asr_formal_6x4_npu4_v2_recovery_20260914_121324/search/workspace/exp_20_improve/metric/implementation_source.json</t>
  </si>
  <si>
    <t>f50cc1faa2a12b5470ce7e13241652309fa1138c15de3fc5350208fada21b030</t>
  </si>
  <si>
    <t>sure-c7ac93072ad80e4d9-ordinary-ordinary-r5-candidate-1</t>
  </si>
  <si>
    <t>sure-priority-router</t>
  </si>
  <si>
    <t>由成功路由审计与生成产物时间匹配（间隔小于3秒）</t>
  </si>
  <si>
    <t>R5-C2 / exp_21</t>
  </si>
  <si>
    <t>/shared/chaolei.liu/SURE-Evolve/runs/asr_formal_6x4_npu4_v2_recovery_20260914_121324/search/workspace/exp_21_improve/metric/score_summary.json</t>
  </si>
  <si>
    <t>3fdda12e3a08930fd885420c6b17b601bbda8d510a8269d2d6e626de8356e3eb</t>
  </si>
  <si>
    <t>/shared/chaolei.liu/SURE-Evolve/runs/asr_formal_6x4_npu4_v2_recovery_20260914_121324/search/workspace/exp_21_improve/metric/implementation_source.json</t>
  </si>
  <si>
    <t>0d4f366514aaa1129d625e5fdea054be203f55490aa346a24b0d01895032afc8</t>
  </si>
  <si>
    <t>sure-c7ac93072ad80e4d9-ordinary-ordinary-r5-candidate-2</t>
  </si>
  <si>
    <t>R5-C3 / exp_22</t>
  </si>
  <si>
    <t>/shared/chaolei.liu/SURE-Evolve/runs/asr_formal_6x4_npu4_v2_recovery_20260914_121324/search/workspace/exp_22_improve/metric/score_summary.json</t>
  </si>
  <si>
    <t>a5fff97cefd500309b6f8e68a0f105e6f680ab2def24adcab6f922cc2d765618</t>
  </si>
  <si>
    <t>/shared/chaolei.liu/SURE-Evolve/runs/asr_formal_6x4_npu4_v2_recovery_20260914_121324/search/workspace/exp_22_improve/metric/implementation_source.json</t>
  </si>
  <si>
    <t>03a197f41d7d912ec5ce4c1e57b6a43863a8072e8321d2a683f15897dd31a3a8</t>
  </si>
  <si>
    <t>sure-c7ac93072ad80e4d9-ordinary-ordinary-r5-candidate-3</t>
  </si>
  <si>
    <t>R5-C4 / exp_23</t>
  </si>
  <si>
    <t>/shared/chaolei.liu/SURE-Evolve/runs/asr_formal_6x4_npu4_v2_recovery_20260914_121324/search/workspace/exp_23_improve/metric/score_summary.json</t>
  </si>
  <si>
    <t>8e4a3ce37e8f3f679bd1ba83f7de739226b61cc5e945ca265fc7a4f66a7afdd6</t>
  </si>
  <si>
    <t>/shared/chaolei.liu/SURE-Evolve/runs/asr_formal_6x4_npu4_v2_recovery_20260914_121324/search/workspace/exp_23_improve/metric/implementation_source.json</t>
  </si>
  <si>
    <t>4877c77f5d44554788935237a7fef3365b72aea3dad533aa2a25cc7fefb50382</t>
  </si>
  <si>
    <t>sure-c7ac93072ad80e4d9-ordinary-ordinary-r5-candidate-4</t>
  </si>
  <si>
    <t>R6-C1 / exp_25</t>
  </si>
  <si>
    <t>尚未生成评分文件</t>
  </si>
  <si>
    <t>/shared/chaolei.liu/SURE-Evolve/runs/asr_formal_6x4_npu4_v2_recovery_20260914_121324/search/workspace/exp_25_improve/metric/implementation_source.json</t>
  </si>
  <si>
    <t>0e0fc2a80e14f63e8696fcfb375c0526543ae4207661c24b0fa2c7d7ec062334</t>
  </si>
  <si>
    <t>sure-c7ac93072ad80e4d9-ordinary-ordinary-r6-candidate-1</t>
  </si>
  <si>
    <t>R6-C2 / exp_26</t>
  </si>
  <si>
    <t>/shared/chaolei.liu/SURE-Evolve/runs/asr_formal_6x4_npu4_v2_recovery_20260914_121324/search/workspace/exp_26_improve/metric/implementation_source.json</t>
  </si>
  <si>
    <t>cb24e6378a173269e805ef4fef44cf6e05719bbc94432a5e418ae01869840e56</t>
  </si>
  <si>
    <t>sure-c7ac93072ad80e4d9-ordinary-ordinary-r6-candidate-2</t>
  </si>
  <si>
    <t>R6-C3 / exp_27</t>
  </si>
  <si>
    <t>/shared/chaolei.liu/SURE-Evolve/runs/asr_formal_6x4_npu4_v2_recovery_20260914_121324/search/workspace/exp_27_improve/metric/implementation_source.json</t>
  </si>
  <si>
    <t>177a8d9feba70bb215b19eec3dbc4f3f6f746fdf5244aed7b533ebc35aef0c78</t>
  </si>
  <si>
    <t>sure-c7ac93072ad80e4d9-ordinary-ordinary-r6-candidate-3</t>
  </si>
  <si>
    <t>R6-C4 / exp_28</t>
  </si>
  <si>
    <t>/shared/chaolei.liu/SURE-Evolve/runs/asr_formal_6x4_npu4_v2_recovery_20260914_121324/search/workspace/exp_28_improve/metric/implementation_source.json</t>
  </si>
  <si>
    <t>20b44b9116cb7b65665a02934c48060bea0a92da3cc5450aefd47d1af31f37cb</t>
  </si>
  <si>
    <t>sure-c7ac93072ad80e4d9-ordinary-ordinary-r6-candidate-4</t>
  </si>
  <si>
    <t>输入记录</t>
  </si>
  <si>
    <t>controller_state.json</t>
  </si>
  <si>
    <t>/shared/chaolei.liu/SURE-Evolve/runs/asr_formal_6x4_npu4_v2_recovery_20260914_121324/search/workspace/metric/controller_state.json</t>
  </si>
  <si>
    <t>28bf156735476396d7fdf7c6c343ad15f9f5b1362d63b68ad000845083e74b40</t>
  </si>
  <si>
    <t>文件内容SHA256；文件在读取时采样。</t>
  </si>
  <si>
    <t>execution.yaml</t>
  </si>
  <si>
    <t>/shared/chaolei.liu/SURE-Evolve/runs/asr_formal_6x4_npu4_v2_recovery_20260914_121324/execution.yaml</t>
  </si>
  <si>
    <t>3cea538287d1af1608e1097b58bde4026422ef5aebc1f7932374a7dcb6f96193</t>
  </si>
  <si>
    <t>preparation.json</t>
  </si>
  <si>
    <t>/shared/chaolei.liu/data/sure_tedlium3_unigram500_musan_v2/preparation.json</t>
  </si>
  <si>
    <t>b34839b15b87f5e0da2d0583ac7359ef6786d73dc1e6c58c54661c7b6d336a57</t>
  </si>
  <si>
    <t>batch.json</t>
  </si>
  <si>
    <t>/shared/chaolei.liu/SURE-Evolve/runs/asr_formal_6x4_npu4_v2_recovery_20260914_121324/xlab_operations/sure-c7ac93072ad80e4d9-ordinary-ordinary-r1/batch.json</t>
  </si>
  <si>
    <t>df4b5d332472f3f3a290dd21573e54d7b710e24c761aeade5670a7eb59e40eb6</t>
  </si>
  <si>
    <t>/shared/chaolei.liu/SURE-Evolve/runs/asr_formal_6x4_npu4_v2_recovery_20260914_121324/xlab_operations/sure-c7ac93072ad80e4d9-ordinary-ordinary-r2/batch.json</t>
  </si>
  <si>
    <t>a0145f384f76d03506bd5100045f4c202fad5e00edbfbb45dc4940af7633d04c</t>
  </si>
  <si>
    <t>/shared/chaolei.liu/SURE-Evolve/runs/asr_formal_6x4_npu4_v2_recovery_20260914_121324/xlab_operations/sure-c7ac93072ad80e4d9-ordinary-ordinary-r3/batch.json</t>
  </si>
  <si>
    <t>be0b6446a178a06e6c0daa7e9a784acc8a95cedcc2903a69ac15e11480bf363b</t>
  </si>
  <si>
    <t>/shared/chaolei.liu/SURE-Evolve/runs/asr_formal_6x4_npu4_v2_recovery_20260914_121324/xlab_operations/sure-c7ac93072ad80e4d9-ordinary-ordinary-r4/batch.json</t>
  </si>
  <si>
    <t>2862bf4eb7c4b473f6d372890a4a0d547fd35dec7ce97a98fdc475b68c93bed0</t>
  </si>
  <si>
    <t>/shared/chaolei.liu/SURE-Evolve/runs/asr_formal_6x4_npu4_v2_recovery_20260914_121324/xlab_operations/sure-c7ac93072ad80e4d9-ordinary-ordinary-r5/batch.json</t>
  </si>
  <si>
    <t>f88aa38b5820239bcc36b904546b6c73b0fa16d5210db67876e09416d252d3ed</t>
  </si>
  <si>
    <t>/shared/chaolei.liu/SURE-Evolve/runs/asr_formal_6x4_npu4_v2_recovery_20260914_121324/xlab_operations/sure-c7ac93072ad80e4d9-ordinary-ordinary-r6/batch.json</t>
  </si>
  <si>
    <t>bb51b33aee871892826e38e7befd43e848477b06cda96878bb2711b8e105970b</t>
  </si>
  <si>
    <t>requests.jsonl</t>
  </si>
  <si>
    <t>/shared/chaolei.liu/SURE-Evolve/runs/services/asr_api_priority_v1/requests.jsonl</t>
  </si>
  <si>
    <t>aa9a17f5740bba295ba6b317a502a8897f33dbabebd6ad49af8490357faeca14</t>
  </si>
  <si>
    <t>advisory_generation_trace.json</t>
  </si>
  <si>
    <t>/shared/chaolei.liu/SURE-Evolve/runs/asr_formal_6x4_npu4_v2_recovery_20260914_121324/xlab_operations/sure-c7ac93072ad80e4d9-ordinary-ordinary-r1/attempt-1/advisory_generation_trace.json</t>
  </si>
  <si>
    <t>733258aa308b725d7d72395c25537a34287b619d5dcedd63e5ee6db5e6403b66</t>
  </si>
  <si>
    <t>/shared/chaolei.liu/SURE-Evolve/runs/asr_formal_6x4_npu4_v2_recovery_20260914_121324/xlab_operations/sure-c7ac93072ad80e4d9-ordinary-ordinary-r1/attempt-2/advisory_generation_trace.json</t>
  </si>
  <si>
    <t>68c89ac746f0f3bcf863c586194b1b3a508f7ad048cf119497cea64628de511e</t>
  </si>
  <si>
    <t>/shared/chaolei.liu/SURE-Evolve/runs/asr_formal_6x4_npu4_v2_recovery_20260914_121324/xlab_operations/sure-c7ac93072ad80e4d9-ordinary-ordinary-r1/attempt-3/advisory_generation_trace.json</t>
  </si>
  <si>
    <t>b18f41ea046f6b972e3d5953f836fc56902e2de64c03e4068b833c9a2630ba05</t>
  </si>
  <si>
    <t>/shared/chaolei.liu/SURE-Evolve/runs/asr_formal_6x4_npu4_v2_recovery_20260914_121324/xlab_operations/sure-c7ac93072ad80e4d9-ordinary-ordinary-r1/attempt-4/advisory_generation_trace.json</t>
  </si>
  <si>
    <t>8e6984b2e059bd12f032223b6c29ec11eb7bf7b5ef5c59945960e085bc7760a8</t>
  </si>
  <si>
    <t>/shared/chaolei.liu/SURE-Evolve/runs/asr_formal_6x4_npu4_v2_recovery_20260914_121324/xlab_operations/sure-c7ac93072ad80e4d9-ordinary-ordinary-r2/attempt-2/advisory_generation_trace.json</t>
  </si>
  <si>
    <t>937d45081a76badf70302a5a1ad5e239ec54433040117790632088fca59fa01d</t>
  </si>
  <si>
    <t>/shared/chaolei.liu/SURE-Evolve/runs/asr_formal_6x4_npu4_v2_recovery_20260914_121324/xlab_operations/sure-c7ac93072ad80e4d9-ordinary-ordinary-r2/attempt-3/advisory_generation_trace.json</t>
  </si>
  <si>
    <t>b4de623e94f1982e8937ae739d8ebf57abe1109fb6e16005bf38565533de9568</t>
  </si>
  <si>
    <t>/shared/chaolei.liu/SURE-Evolve/runs/asr_formal_6x4_npu4_v2_recovery_20260914_121324/xlab_operations/sure-c7ac93072ad80e4d9-ordinary-ordinary-r2/attempt-4/advisory_generation_trace.json</t>
  </si>
  <si>
    <t>895af3353dfff897eae7c2a4dc8008263e70e46a31e99d35fd763353b2263b0c</t>
  </si>
  <si>
    <t>/shared/chaolei.liu/SURE-Evolve/runs/asr_formal_6x4_npu4_v2_recovery_20260914_121324/xlab_operations/sure-c7ac93072ad80e4d9-ordinary-ordinary-r2/attempt-5/advisory_generation_trace.json</t>
  </si>
  <si>
    <t>36106549ec887a1eb19f84b2ed7b0a697f70e7fd95a7685da06a03d373304fe2</t>
  </si>
  <si>
    <t>/shared/chaolei.liu/SURE-Evolve/runs/asr_formal_6x4_npu4_v2_recovery_20260914_121324/xlab_operations/sure-c7ac93072ad80e4d9-ordinary-ordinary-r3/attempt-2/advisory_generation_trace.json</t>
  </si>
  <si>
    <t>bce6e618f38ce0f3a2f3d0a6e5b5228d08eb7fea3e3ae102c124257791a8ab08</t>
  </si>
  <si>
    <t>/shared/chaolei.liu/SURE-Evolve/runs/asr_formal_6x4_npu4_v2_recovery_20260914_121324/xlab_operations/sure-c7ac93072ad80e4d9-ordinary-ordinary-r3/attempt-3/advisory_generation_trace.json</t>
  </si>
  <si>
    <t>56362983c5205576fdfe17ed9680399b22ecdb7d22bd979d345a7a561fea84fd</t>
  </si>
  <si>
    <t>/shared/chaolei.liu/SURE-Evolve/runs/asr_formal_6x4_npu4_v2_recovery_20260914_121324/xlab_operations/sure-c7ac93072ad80e4d9-ordinary-ordinary-r3/attempt-4/advisory_generation_trace.json</t>
  </si>
  <si>
    <t>fa0cfa538f2a325c0ce7d597718f23930b47a0ad3212517927ed7bb4311ba0da</t>
  </si>
  <si>
    <t>/shared/chaolei.liu/SURE-Evolve/runs/asr_formal_6x4_npu4_v2_recovery_20260914_121324/xlab_operations/sure-c7ac93072ad80e4d9-ordinary-ordinary-r3/attempt-5/advisory_generation_trace.json</t>
  </si>
  <si>
    <t>c1fe69928d0558b21f5c8715ea19d43bb3bc15afee2a5b3b80053215f19e3cec</t>
  </si>
  <si>
    <t>/shared/chaolei.liu/SURE-Evolve/runs/asr_formal_6x4_npu4_v2_recovery_20260914_121324/xlab_operations/sure-c7ac93072ad80e4d9-ordinary-ordinary-r4/attempt-2/advisory_generation_trace.json</t>
  </si>
  <si>
    <t>37f1ad81ec60173e326eb4a7aa48ec4ad6f0200209b9acd2f8e49090a3c8cd2a</t>
  </si>
  <si>
    <t>/shared/chaolei.liu/SURE-Evolve/runs/asr_formal_6x4_npu4_v2_recovery_20260914_121324/xlab_operations/sure-c7ac93072ad80e4d9-ordinary-ordinary-r4/attempt-3/advisory_generation_trace.json</t>
  </si>
  <si>
    <t>97e37c79f0bd2e21b1726815d784c807c0ad3c9d39b28ddfcfaa276ddff3b940</t>
  </si>
  <si>
    <t>/shared/chaolei.liu/SURE-Evolve/runs/asr_formal_6x4_npu4_v2_recovery_20260914_121324/xlab_operations/sure-c7ac93072ad80e4d9-ordinary-ordinary-r4/attempt-4/advisory_generation_trace.json</t>
  </si>
  <si>
    <t>b14bf02cb03c01e08e44b222ce9adfa9e8925647a73dc23d1d09a03b3c4c948d</t>
  </si>
  <si>
    <t>/shared/chaolei.liu/SURE-Evolve/runs/asr_formal_6x4_npu4_v2_recovery_20260914_121324/xlab_operations/sure-c7ac93072ad80e4d9-ordinary-ordinary-r4/attempt-5/advisory_generation_trace.json</t>
  </si>
  <si>
    <t>73719e669cc542e27f6e2897319a1b4c3104627a834c8c370178cca7237f1edf</t>
  </si>
  <si>
    <t>/shared/chaolei.liu/SURE-Evolve/runs/asr_formal_6x4_npu4_v2_recovery_20260914_121324/xlab_operations/sure-c7ac93072ad80e4d9-ordinary-ordinary-r5/attempt-2/advisory_generation_trace.json</t>
  </si>
  <si>
    <t>7afac0b6187cc3f8bcfea9ac91dc90a90c5d057dc9591289ec1527c7bd22a388</t>
  </si>
  <si>
    <t>/shared/chaolei.liu/SURE-Evolve/runs/asr_formal_6x4_npu4_v2_recovery_20260914_121324/xlab_operations/sure-c7ac93072ad80e4d9-ordinary-ordinary-r5/attempt-3/advisory_generation_trace.json</t>
  </si>
  <si>
    <t>8d4618926beb45235449775011eb679521acfcb82bc4d9e634e1f6063aefd589</t>
  </si>
  <si>
    <t>/shared/chaolei.liu/SURE-Evolve/runs/asr_formal_6x4_npu4_v2_recovery_20260914_121324/xlab_operations/sure-c7ac93072ad80e4d9-ordinary-ordinary-r5/attempt-4/advisory_generation_trace.json</t>
  </si>
  <si>
    <t>bca2b8854c35948bfc057d5c8be3e07b2236421a22324c9be7cadce5a1c99321</t>
  </si>
  <si>
    <t>/shared/chaolei.liu/SURE-Evolve/runs/asr_formal_6x4_npu4_v2_recovery_20260914_121324/xlab_operations/sure-c7ac93072ad80e4d9-ordinary-ordinary-r5/attempt-5/advisory_generation_trace.json</t>
  </si>
  <si>
    <t>902a945cfd5fbb078863639371369e9df6b1519b7f62dbcc87dda539aa322eaf</t>
  </si>
  <si>
    <t>/shared/chaolei.liu/SURE-Evolve/runs/asr_formal_6x4_npu4_v2_recovery_20260914_121324/xlab_operations/sure-c7ac93072ad80e4d9-ordinary-ordinary-r6/attempt-2/advisory_generation_trace.json</t>
  </si>
  <si>
    <t>2f6d18d76ff87e4bd181127a1f9bc8a669664ff21aa6964d1b99d54a9fc72b6f</t>
  </si>
  <si>
    <t>/shared/chaolei.liu/SURE-Evolve/runs/asr_formal_6x4_npu4_v2_recovery_20260914_121324/xlab_operations/sure-c7ac93072ad80e4d9-ordinary-ordinary-r6/attempt-3/advisory_generation_trace.json</t>
  </si>
  <si>
    <t>6816177d834b3cafdf5c01924dd0ab65750a48cadfdbfec72b2c0878ed07da85</t>
  </si>
  <si>
    <t>/shared/chaolei.liu/SURE-Evolve/runs/asr_formal_6x4_npu4_v2_recovery_20260914_121324/xlab_operations/sure-c7ac93072ad80e4d9-ordinary-ordinary-r6/attempt-4/advisory_generation_trace.json</t>
  </si>
  <si>
    <t>f65defa0bbf13e491b3df1f5e65713054e08731bea473c9072a5b4088800f7e3</t>
  </si>
  <si>
    <t>/shared/chaolei.liu/SURE-Evolve/runs/asr_formal_6x4_npu4_v2_recovery_20260914_121324/xlab_operations/sure-c7ac93072ad80e4d9-ordinary-ordinary-r6/attempt-5/advisory_generation_trace.json</t>
  </si>
  <si>
    <t>8a7587f2cf6322d71a0bb167c872ef1c9e32fefe9eaf6293696f919a7d602246</t>
  </si>
</sst>
</file>

<file path=xl/styles.xml><?xml version="1.0" encoding="utf-8"?>
<styleSheet xmlns="http://schemas.openxmlformats.org/spreadsheetml/2006/main">
  <numFmts count="4">
    <numFmt numFmtId="164" formatCode="0.0000%"/>
    <numFmt numFmtId="165" formatCode="+0.0000;-0.0000;0.0000"/>
    <numFmt numFmtId="166" formatCode="+0.00%;-0.00%;0.00%"/>
    <numFmt numFmtId="167" formatCode="+0;-0;0"/>
  </numFmts>
  <fonts count="5">
    <font>
      <sz val="11"/>
      <color theme="1"/>
      <name val="Calibri"/>
      <family val="2"/>
      <scheme val="minor"/>
    </font>
    <font>
      <b/>
      <sz val="19"/>
      <color rgb="FFFFFFFF"/>
      <name val="Microsoft YaHei"/>
      <family val="2"/>
    </font>
    <font>
      <sz val="10"/>
      <color rgb="FF5B6573"/>
      <name val="Microsoft YaHei"/>
      <family val="2"/>
    </font>
    <font>
      <b/>
      <sz val="10"/>
      <color theme="1"/>
      <name val="Microsoft YaHei"/>
      <family val="2"/>
    </font>
    <font>
      <sz val="10"/>
      <color theme="1"/>
      <name val="Microsoft YaHei"/>
      <family val="2"/>
    </font>
  </fonts>
  <fills count="4">
    <fill>
      <patternFill patternType="none"/>
    </fill>
    <fill>
      <patternFill patternType="gray125"/>
    </fill>
    <fill>
      <patternFill patternType="solid">
        <fgColor rgb="FF183153"/>
        <bgColor indexed="64"/>
      </patternFill>
    </fill>
    <fill>
      <patternFill patternType="solid">
        <fgColor rgb="FFE8EEF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top" wrapText="1"/>
    </xf>
    <xf numFmtId="0" fontId="3" fillId="3" borderId="0" xfId="0" applyFont="1" applyFill="1" applyAlignment="1">
      <alignment vertical="top" wrapText="1"/>
    </xf>
    <xf numFmtId="0" fontId="4" fillId="0" borderId="0" xfId="0" applyFont="1" applyAlignment="1">
      <alignment vertical="top" wrapText="1"/>
    </xf>
    <xf numFmtId="164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166" fontId="4" fillId="0" borderId="0" xfId="0" applyNumberFormat="1" applyFont="1" applyAlignment="1">
      <alignment vertical="top"/>
    </xf>
    <xf numFmtId="1" fontId="4" fillId="0" borderId="0" xfId="0" applyNumberFormat="1" applyFont="1" applyAlignment="1">
      <alignment vertical="top"/>
    </xf>
    <xf numFmtId="167" fontId="4" fillId="0" borderId="0" xfId="0" applyNumberFormat="1" applyFont="1" applyAlignment="1">
      <alignment vertical="top"/>
    </xf>
  </cellXfs>
  <cellStyles count="1">
    <cellStyle name="Normal" xfId="0" builtinId="0"/>
  </cellStyles>
  <dxfs count="3">
    <dxf>
      <font>
        <color rgb="FF215E21"/>
      </font>
      <fill>
        <patternFill>
          <bgColor rgb="FFE2F0D9"/>
        </patternFill>
      </fill>
    </dxf>
    <dxf>
      <font>
        <color rgb="FF9C2424"/>
      </font>
      <fill>
        <patternFill>
          <bgColor rgb="FFFCE4D6"/>
        </patternFill>
      </fill>
    </dxf>
    <dxf>
      <font>
        <color rgb="FF806000"/>
      </font>
      <fill>
        <patternFill>
          <bgColor rgb="FFFFF2CC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已完成轮次：累计最优 regular200 WER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累计最优WER</c:v>
          </c:tx>
          <c:spPr>
            <a:ln w="31750">
              <a:solidFill>
                <a:srgbClr val="245A81"/>
              </a:solidFill>
            </a:ln>
          </c:spPr>
          <c:marker>
            <c:symbol val="circle"/>
            <c:size val="7"/>
          </c:marker>
          <c:cat>
            <c:strRef>
              <c:f>逐轮结果!$A$6:$A$11</c:f>
              <c:strCache>
                <c:ptCount val="6"/>
                <c:pt idx="0">
                  <c:v>Baseline</c:v>
                </c:pt>
                <c:pt idx="1">
                  <c:v>第1轮</c:v>
                </c:pt>
                <c:pt idx="2">
                  <c:v>第2轮</c:v>
                </c:pt>
                <c:pt idx="3">
                  <c:v>第3轮</c:v>
                </c:pt>
                <c:pt idx="4">
                  <c:v>第4轮</c:v>
                </c:pt>
                <c:pt idx="5">
                  <c:v>第5轮</c:v>
                </c:pt>
              </c:strCache>
            </c:strRef>
          </c:cat>
          <c:val>
            <c:numRef>
              <c:f>逐轮结果!$F$6:$F$11</c:f>
              <c:numCache>
                <c:formatCode>General</c:formatCode>
                <c:ptCount val="6"/>
                <c:pt idx="0">
                  <c:v>0.05694600674915636</c:v>
                </c:pt>
                <c:pt idx="1">
                  <c:v>0.05610236220472441</c:v>
                </c:pt>
                <c:pt idx="2">
                  <c:v>0.05455568053993251</c:v>
                </c:pt>
                <c:pt idx="3">
                  <c:v>0.05455568053993251</c:v>
                </c:pt>
                <c:pt idx="4">
                  <c:v>0.05371203599550056</c:v>
                </c:pt>
                <c:pt idx="5">
                  <c:v>0.05371203599550056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搜索轮次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0.06"/>
          <c:min val="0.05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WER</a:t>
                </a:r>
              </a:p>
            </c:rich>
          </c:tx>
          <c:layout/>
        </c:title>
        <c:numFmt formatCode="0.00%" sourceLinked="0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已评测候选：WER绝对降幅（正值改善）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相对baseline的绝对WER降幅（百分点）</c:v>
          </c:tx>
          <c:dPt>
            <c:idx val="0"/>
            <c:spPr>
              <a:solidFill>
                <a:srgbClr val="2D7D46"/>
              </a:solidFill>
              <a:ln>
                <a:noFill/>
              </a:ln>
            </c:spPr>
          </c:dPt>
          <c:dPt>
            <c:idx val="1"/>
            <c:spPr>
              <a:solidFill>
                <a:srgbClr val="2D7D46"/>
              </a:solidFill>
              <a:ln>
                <a:noFill/>
              </a:ln>
            </c:spPr>
          </c:dPt>
          <c:dPt>
            <c:idx val="2"/>
            <c:spPr>
              <a:solidFill>
                <a:srgbClr val="2D7D46"/>
              </a:solidFill>
              <a:ln>
                <a:noFill/>
              </a:ln>
            </c:spPr>
          </c:dPt>
          <c:dPt>
            <c:idx val="3"/>
            <c:spPr>
              <a:solidFill>
                <a:srgbClr val="B84A48"/>
              </a:solidFill>
              <a:ln>
                <a:noFill/>
              </a:ln>
            </c:spPr>
          </c:dPt>
          <c:dPt>
            <c:idx val="4"/>
            <c:spPr>
              <a:solidFill>
                <a:srgbClr val="2D7D46"/>
              </a:solidFill>
              <a:ln>
                <a:noFill/>
              </a:ln>
            </c:spPr>
          </c:dPt>
          <c:dPt>
            <c:idx val="5"/>
            <c:spPr>
              <a:solidFill>
                <a:srgbClr val="B84A48"/>
              </a:solidFill>
              <a:ln>
                <a:noFill/>
              </a:ln>
            </c:spPr>
          </c:dPt>
          <c:dPt>
            <c:idx val="6"/>
            <c:spPr>
              <a:solidFill>
                <a:srgbClr val="2D7D46"/>
              </a:solidFill>
              <a:ln>
                <a:noFill/>
              </a:ln>
            </c:spPr>
          </c:dPt>
          <c:dPt>
            <c:idx val="7"/>
            <c:spPr>
              <a:solidFill>
                <a:srgbClr val="B84A48"/>
              </a:solidFill>
              <a:ln>
                <a:noFill/>
              </a:ln>
            </c:spPr>
          </c:dPt>
          <c:dPt>
            <c:idx val="8"/>
            <c:spPr>
              <a:solidFill>
                <a:srgbClr val="B84A48"/>
              </a:solidFill>
              <a:ln>
                <a:noFill/>
              </a:ln>
            </c:spPr>
          </c:dPt>
          <c:dPt>
            <c:idx val="9"/>
            <c:spPr>
              <a:solidFill>
                <a:srgbClr val="2D7D46"/>
              </a:solidFill>
              <a:ln>
                <a:noFill/>
              </a:ln>
            </c:spPr>
          </c:dPt>
          <c:dPt>
            <c:idx val="10"/>
            <c:spPr>
              <a:solidFill>
                <a:srgbClr val="B84A48"/>
              </a:solidFill>
              <a:ln>
                <a:noFill/>
              </a:ln>
            </c:spPr>
          </c:dPt>
          <c:dPt>
            <c:idx val="11"/>
            <c:spPr>
              <a:solidFill>
                <a:srgbClr val="2D7D46"/>
              </a:solidFill>
              <a:ln>
                <a:noFill/>
              </a:ln>
            </c:spPr>
          </c:dPt>
          <c:dPt>
            <c:idx val="12"/>
            <c:spPr>
              <a:solidFill>
                <a:srgbClr val="2D7D46"/>
              </a:solidFill>
              <a:ln>
                <a:noFill/>
              </a:ln>
            </c:spPr>
          </c:dPt>
          <c:dPt>
            <c:idx val="13"/>
            <c:spPr>
              <a:solidFill>
                <a:srgbClr val="2D7D46"/>
              </a:solidFill>
              <a:ln>
                <a:noFill/>
              </a:ln>
            </c:spPr>
          </c:dPt>
          <c:dPt>
            <c:idx val="14"/>
            <c:spPr>
              <a:solidFill>
                <a:srgbClr val="2D7D46"/>
              </a:solidFill>
              <a:ln>
                <a:noFill/>
              </a:ln>
            </c:spPr>
          </c:dPt>
          <c:dPt>
            <c:idx val="15"/>
            <c:spPr>
              <a:solidFill>
                <a:srgbClr val="2D7D46"/>
              </a:solidFill>
              <a:ln>
                <a:noFill/>
              </a:ln>
            </c:spPr>
          </c:dPt>
          <c:dPt>
            <c:idx val="16"/>
            <c:spPr>
              <a:solidFill>
                <a:srgbClr val="B84A48"/>
              </a:solidFill>
              <a:ln>
                <a:noFill/>
              </a:ln>
            </c:spPr>
          </c:dPt>
          <c:dPt>
            <c:idx val="17"/>
            <c:spPr>
              <a:solidFill>
                <a:srgbClr val="B84A48"/>
              </a:solidFill>
              <a:ln>
                <a:noFill/>
              </a:ln>
            </c:spPr>
          </c:dPt>
          <c:dPt>
            <c:idx val="18"/>
            <c:spPr>
              <a:solidFill>
                <a:srgbClr val="B84A48"/>
              </a:solidFill>
              <a:ln>
                <a:noFill/>
              </a:ln>
            </c:spPr>
          </c:dPt>
          <c:dPt>
            <c:idx val="19"/>
            <c:spPr>
              <a:solidFill>
                <a:srgbClr val="2D7D46"/>
              </a:solidFill>
              <a:ln>
                <a:noFill/>
              </a:ln>
            </c:spPr>
          </c:dPt>
          <c:cat>
            <c:strRef>
              <c:f>候选结果!$C$7:$C$26</c:f>
              <c:strCache>
                <c:ptCount val="20"/>
                <c:pt idx="0">
                  <c:v>exp_0</c:v>
                </c:pt>
                <c:pt idx="1">
                  <c:v>exp_1</c:v>
                </c:pt>
                <c:pt idx="2">
                  <c:v>exp_2</c:v>
                </c:pt>
                <c:pt idx="3">
                  <c:v>exp_3</c:v>
                </c:pt>
                <c:pt idx="4">
                  <c:v>exp_5</c:v>
                </c:pt>
                <c:pt idx="5">
                  <c:v>exp_6</c:v>
                </c:pt>
                <c:pt idx="6">
                  <c:v>exp_7</c:v>
                </c:pt>
                <c:pt idx="7">
                  <c:v>exp_8</c:v>
                </c:pt>
                <c:pt idx="8">
                  <c:v>exp_10</c:v>
                </c:pt>
                <c:pt idx="9">
                  <c:v>exp_11</c:v>
                </c:pt>
                <c:pt idx="10">
                  <c:v>exp_12</c:v>
                </c:pt>
                <c:pt idx="11">
                  <c:v>exp_13</c:v>
                </c:pt>
                <c:pt idx="12">
                  <c:v>exp_15</c:v>
                </c:pt>
                <c:pt idx="13">
                  <c:v>exp_16</c:v>
                </c:pt>
                <c:pt idx="14">
                  <c:v>exp_17</c:v>
                </c:pt>
                <c:pt idx="15">
                  <c:v>exp_18</c:v>
                </c:pt>
                <c:pt idx="16">
                  <c:v>exp_20</c:v>
                </c:pt>
                <c:pt idx="17">
                  <c:v>exp_21</c:v>
                </c:pt>
                <c:pt idx="18">
                  <c:v>exp_22</c:v>
                </c:pt>
                <c:pt idx="19">
                  <c:v>exp_23</c:v>
                </c:pt>
              </c:strCache>
            </c:strRef>
          </c:cat>
          <c:val>
            <c:numRef>
              <c:f>候选结果!$G$7:$G$26</c:f>
              <c:numCache>
                <c:formatCode>General</c:formatCode>
                <c:ptCount val="20"/>
                <c:pt idx="0">
                  <c:v>0.014060742407199373</c:v>
                </c:pt>
                <c:pt idx="1">
                  <c:v>0.042182227221597424</c:v>
                </c:pt>
                <c:pt idx="2">
                  <c:v>0.08436445444319485</c:v>
                </c:pt>
                <c:pt idx="3">
                  <c:v>-0.042182227221597424</c:v>
                </c:pt>
                <c:pt idx="4">
                  <c:v>0.23903262092238448</c:v>
                </c:pt>
                <c:pt idx="5">
                  <c:v>-0.1124859392575929</c:v>
                </c:pt>
                <c:pt idx="6">
                  <c:v>0.042182227221597424</c:v>
                </c:pt>
                <c:pt idx="7">
                  <c:v>-0.042182227221597424</c:v>
                </c:pt>
                <c:pt idx="8">
                  <c:v>-0.168728908886389</c:v>
                </c:pt>
                <c:pt idx="9">
                  <c:v>0.0562429696287961</c:v>
                </c:pt>
                <c:pt idx="10">
                  <c:v>-0.042182227221597424</c:v>
                </c:pt>
                <c:pt idx="11">
                  <c:v>0.23903262092238448</c:v>
                </c:pt>
                <c:pt idx="12">
                  <c:v>0.2812148481439819</c:v>
                </c:pt>
                <c:pt idx="13">
                  <c:v>0.3233970753655793</c:v>
                </c:pt>
                <c:pt idx="14">
                  <c:v>0.15466816647919032</c:v>
                </c:pt>
                <c:pt idx="15">
                  <c:v>0.12654668166479158</c:v>
                </c:pt>
                <c:pt idx="16">
                  <c:v>-0.02812148481439805</c:v>
                </c:pt>
                <c:pt idx="17">
                  <c:v>-0.07030371203599547</c:v>
                </c:pt>
                <c:pt idx="18">
                  <c:v>-0.2671541057367832</c:v>
                </c:pt>
                <c:pt idx="19">
                  <c:v>0.08436445444319485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axMin"/>
        </c:scaling>
        <c:axPos val="l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WER降幅（百分点）</a:t>
                </a:r>
              </a:p>
            </c:rich>
          </c:tx>
          <c:layout/>
        </c:title>
        <c:numFmt formatCode="0.00" sourceLinked="0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0</xdr:rowOff>
    </xdr:from>
    <xdr:to>
      <xdr:col>6</xdr:col>
      <xdr:colOff>819150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37</xdr:row>
      <xdr:rowOff>0</xdr:rowOff>
    </xdr:from>
    <xdr:to>
      <xdr:col>6</xdr:col>
      <xdr:colOff>819150</xdr:colOff>
      <xdr:row>65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5:D36" totalsRowShown="0">
  <autoFilter ref="A5:D36"/>
  <tableColumns count="4">
    <tableColumn id="1" name="类别"/>
    <tableColumn id="2" name="项目"/>
    <tableColumn id="3" name="数值 / 配置"/>
    <tableColumn id="4" name="说明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5:M30" totalsRowShown="0">
  <autoFilter ref="A5:M30"/>
  <tableColumns count="13">
    <tableColumn id="1" name="论文编号"/>
    <tableColumn id="2" name="轮次"/>
    <tableColumn id="3" name="实验编号"/>
    <tableColumn id="4" name="状态"/>
    <tableColumn id="5" name="实际策略摘要"/>
    <tableColumn id="6" name="WER（%）"/>
    <tableColumn id="7" name="绝对降幅（百分点）"/>
    <tableColumn id="8" name="相对降幅（%）"/>
    <tableColumn id="9" name="总词错误数"/>
    <tableColumn id="10" name="较基线减少错误数"/>
    <tableColumn id="11" name="与基线比较"/>
    <tableColumn id="12" name="生成模型"/>
    <tableColumn id="13" name="原始idea标题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5:AG30" totalsRowShown="0">
  <autoFilter ref="A5:AG30"/>
  <tableColumns count="33">
    <tableColumn id="1" name="实验编号"/>
    <tableColumn id="2" name="轮次"/>
    <tableColumn id="3" name="状态"/>
    <tableColumn id="4" name="L：每阶段层数"/>
    <tableColumn id="5" name="D：编码器宽度"/>
    <tableColumn id="6" name="F：FFN宽度"/>
    <tableColumn id="7" name="U：未掩码通道数"/>
    <tableColumn id="8" name="总层数"/>
    <tableColumn id="9" name="相对baseline的精确改动"/>
    <tableColumn id="10" name="L1"/>
    <tableColumn id="11" name="L2"/>
    <tableColumn id="12" name="L3"/>
    <tableColumn id="13" name="L4"/>
    <tableColumn id="14" name="L5"/>
    <tableColumn id="15" name="L6"/>
    <tableColumn id="16" name="D1"/>
    <tableColumn id="17" name="D2"/>
    <tableColumn id="18" name="D3"/>
    <tableColumn id="19" name="D4"/>
    <tableColumn id="20" name="D5"/>
    <tableColumn id="21" name="D6"/>
    <tableColumn id="22" name="F1"/>
    <tableColumn id="23" name="F2"/>
    <tableColumn id="24" name="F3"/>
    <tableColumn id="25" name="F4"/>
    <tableColumn id="26" name="F5"/>
    <tableColumn id="27" name="F6"/>
    <tableColumn id="28" name="U1"/>
    <tableColumn id="29" name="U2"/>
    <tableColumn id="30" name="U3"/>
    <tableColumn id="31" name="U4"/>
    <tableColumn id="32" name="U5"/>
    <tableColumn id="33" name="U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5:H12" totalsRowShown="0">
  <autoFilter ref="A5:H12"/>
  <tableColumns count="8">
    <tableColumn id="1" name="轮次"/>
    <tableColumn id="2" name="计划模型数"/>
    <tableColumn id="3" name="已评测数"/>
    <tableColumn id="4" name="状态"/>
    <tableColumn id="5" name="轮内最优WER"/>
    <tableColumn id="6" name="累计最优WER"/>
    <tableColumn id="7" name="累计相对降幅"/>
    <tableColumn id="8" name="轮内最优候选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5:C9" totalsRowShown="0">
  <autoFilter ref="A5:C9"/>
  <tableColumns count="3">
    <tableColumn id="1" name="结构参数"/>
    <tableColumn id="2" name="Baseline"/>
    <tableColumn id="3" name="exp_16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5:C17" totalsRowShown="0">
  <autoFilter ref="A5:C17"/>
  <tableColumns count="3">
    <tableColumn id="1" name="内容"/>
    <tableColumn id="2" name="可直接使用或核对的文字"/>
    <tableColumn id="3" name="说明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5:E113" totalsRowShown="0">
  <autoFilter ref="A5:E113"/>
  <tableColumns count="5">
    <tableColumn id="1" name="类型"/>
    <tableColumn id="2" name="对象"/>
    <tableColumn id="3" name="路径 / 请求模型"/>
    <tableColumn id="4" name="SHA256 / 实际模型"/>
    <tableColumn id="5" name="说明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16"/>
  <sheetViews>
    <sheetView showGridLines="0" tabSelected="1" workbookViewId="0">
      <pane ySplit="4" topLeftCell="A5" activePane="bottomLeft" state="frozen"/>
      <selection pane="bottomLeft"/>
    </sheetView>
  </sheetViews>
  <sheetFormatPr defaultRowHeight="15"/>
  <cols>
    <col min="1" max="1" width="27.7109375" customWidth="1"/>
    <col min="2" max="2" width="23.7109375" customWidth="1"/>
    <col min="3" max="9" width="13.7109375" customWidth="1"/>
  </cols>
  <sheetData>
    <row r="1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s="1"/>
      <c r="B2" s="1"/>
      <c r="C2" s="1"/>
      <c r="D2" s="1"/>
      <c r="E2" s="1"/>
      <c r="F2" s="1"/>
      <c r="G2" s="1"/>
      <c r="H2" s="1"/>
      <c r="I2" s="1"/>
    </row>
    <row r="3" spans="1:9" ht="34" customHeight="1">
      <c r="A3" s="2" t="s">
        <v>1</v>
      </c>
      <c r="B3" s="2"/>
      <c r="C3" s="2"/>
      <c r="D3" s="2"/>
      <c r="E3" s="2"/>
      <c r="F3" s="2"/>
      <c r="G3" s="2"/>
      <c r="H3" s="2"/>
      <c r="I3" s="2"/>
    </row>
    <row r="5" spans="1:9" ht="25" customHeight="1">
      <c r="A5" s="3" t="s">
        <v>2</v>
      </c>
      <c r="B5" s="4" t="s">
        <v>3</v>
      </c>
      <c r="D5" s="4" t="s">
        <v>19</v>
      </c>
      <c r="E5" s="4"/>
      <c r="F5" s="4"/>
      <c r="G5" s="4"/>
      <c r="H5" s="4"/>
      <c r="I5" s="4"/>
    </row>
    <row r="6" spans="1:9" ht="25" customHeight="1">
      <c r="A6" s="3" t="s">
        <v>4</v>
      </c>
      <c r="B6" s="4" t="s">
        <v>5</v>
      </c>
      <c r="D6" s="4"/>
      <c r="E6" s="4"/>
      <c r="F6" s="4"/>
      <c r="G6" s="4"/>
      <c r="H6" s="4"/>
      <c r="I6" s="4"/>
    </row>
    <row r="7" spans="1:9" ht="25" customHeight="1">
      <c r="A7" s="3" t="s">
        <v>6</v>
      </c>
      <c r="B7" s="4">
        <v>20</v>
      </c>
      <c r="D7" s="4"/>
      <c r="E7" s="4"/>
      <c r="F7" s="4"/>
      <c r="G7" s="4"/>
      <c r="H7" s="4"/>
      <c r="I7" s="4"/>
    </row>
    <row r="8" spans="1:9" ht="25" customHeight="1">
      <c r="A8" s="3" t="s">
        <v>7</v>
      </c>
      <c r="B8" s="4">
        <v>4</v>
      </c>
      <c r="D8" s="4"/>
      <c r="E8" s="4"/>
      <c r="F8" s="4"/>
      <c r="G8" s="4"/>
      <c r="H8" s="4"/>
      <c r="I8" s="4"/>
    </row>
    <row r="9" spans="1:9" ht="25" customHeight="1">
      <c r="A9" s="3" t="s">
        <v>8</v>
      </c>
      <c r="B9" s="4" t="s">
        <v>9</v>
      </c>
      <c r="D9" s="4"/>
      <c r="E9" s="4"/>
      <c r="F9" s="4"/>
      <c r="G9" s="4"/>
      <c r="H9" s="4"/>
      <c r="I9" s="4"/>
    </row>
    <row r="10" spans="1:9" ht="25" customHeight="1">
      <c r="A10" s="3" t="s">
        <v>10</v>
      </c>
      <c r="B10" s="4" t="s">
        <v>11</v>
      </c>
    </row>
    <row r="11" spans="1:9" ht="25" customHeight="1">
      <c r="A11" s="3" t="s">
        <v>12</v>
      </c>
      <c r="B11" s="5">
        <v>0.05694600674915636</v>
      </c>
      <c r="D11" s="4" t="s">
        <v>20</v>
      </c>
      <c r="E11" s="4"/>
      <c r="F11" s="4"/>
      <c r="G11" s="4"/>
      <c r="H11" s="4"/>
      <c r="I11" s="4"/>
    </row>
    <row r="12" spans="1:9" ht="25" customHeight="1">
      <c r="A12" s="3" t="s">
        <v>13</v>
      </c>
      <c r="B12" s="5">
        <v>0.05371203599550056</v>
      </c>
      <c r="D12" s="4"/>
      <c r="E12" s="4"/>
      <c r="F12" s="4"/>
      <c r="G12" s="4"/>
      <c r="H12" s="4"/>
      <c r="I12" s="4"/>
    </row>
    <row r="13" spans="1:9" ht="25" customHeight="1">
      <c r="A13" s="3" t="s">
        <v>14</v>
      </c>
      <c r="B13" s="6">
        <v>0.3233970753655793</v>
      </c>
      <c r="D13" s="4"/>
      <c r="E13" s="4"/>
      <c r="F13" s="4"/>
      <c r="G13" s="4"/>
      <c r="H13" s="4"/>
      <c r="I13" s="4"/>
    </row>
    <row r="14" spans="1:9" ht="25" customHeight="1">
      <c r="A14" s="3" t="s">
        <v>15</v>
      </c>
      <c r="B14" s="7">
        <v>0.05679012345679012</v>
      </c>
      <c r="D14" s="4"/>
      <c r="E14" s="4"/>
      <c r="F14" s="4"/>
      <c r="G14" s="4"/>
      <c r="H14" s="4"/>
      <c r="I14" s="4"/>
    </row>
    <row r="15" spans="1:9" ht="25" customHeight="1">
      <c r="A15" s="3" t="s">
        <v>16</v>
      </c>
      <c r="B15" s="4">
        <v>23</v>
      </c>
      <c r="D15" s="4"/>
      <c r="E15" s="4"/>
      <c r="F15" s="4"/>
      <c r="G15" s="4"/>
      <c r="H15" s="4"/>
      <c r="I15" s="4"/>
    </row>
    <row r="16" spans="1:9" ht="25" customHeight="1">
      <c r="A16" s="3" t="s">
        <v>17</v>
      </c>
      <c r="B16" s="4" t="s">
        <v>18</v>
      </c>
    </row>
  </sheetData>
  <mergeCells count="4">
    <mergeCell ref="A1:I2"/>
    <mergeCell ref="A3:I3"/>
    <mergeCell ref="D5:I9"/>
    <mergeCell ref="D11:I15"/>
  </mergeCells>
  <pageMargins left="0.3" right="0.3" top="0.4" bottom="0.4" header="0.3" footer="0.3"/>
  <pageSetup paperSize="9" fitToHeight="0" orientation="landscape"/>
  <headerFooter>
    <oddFooter>&amp;L ASR-Direct-v1 | regular200 搜索集 &amp;R 第 &amp;P / &amp;N 页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6"/>
  <sheetViews>
    <sheetView showGridLines="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/>
  <cols>
    <col min="1" max="1" width="17.7109375" customWidth="1"/>
    <col min="2" max="2" width="31.7109375" customWidth="1"/>
    <col min="3" max="3" width="58.7109375" customWidth="1"/>
    <col min="4" max="4" width="72.7109375" customWidth="1"/>
  </cols>
  <sheetData>
    <row r="1" spans="1:4">
      <c r="A1" s="1" t="s">
        <v>21</v>
      </c>
      <c r="B1" s="1"/>
      <c r="C1" s="1"/>
      <c r="D1" s="1"/>
    </row>
    <row r="2" spans="1:4">
      <c r="A2" s="1"/>
      <c r="B2" s="1"/>
      <c r="C2" s="1"/>
      <c r="D2" s="1"/>
    </row>
    <row r="3" spans="1:4" ht="34" customHeight="1">
      <c r="A3" s="2" t="s">
        <v>22</v>
      </c>
      <c r="B3" s="2"/>
      <c r="C3" s="2"/>
      <c r="D3" s="2"/>
    </row>
    <row r="5" spans="1:4" ht="32" customHeight="1">
      <c r="A5" t="s">
        <v>23</v>
      </c>
      <c r="B5" t="s">
        <v>24</v>
      </c>
      <c r="C5" t="s">
        <v>25</v>
      </c>
      <c r="D5" t="s">
        <v>26</v>
      </c>
    </row>
    <row r="6" spans="1:4" ht="48" customHeight="1">
      <c r="A6" s="4" t="s">
        <v>27</v>
      </c>
      <c r="B6" s="4" t="s">
        <v>28</v>
      </c>
      <c r="C6" s="4" t="s">
        <v>29</v>
      </c>
      <c r="D6" s="4" t="s">
        <v>30</v>
      </c>
    </row>
    <row r="7" spans="1:4" ht="48" customHeight="1">
      <c r="A7" s="4" t="s">
        <v>2</v>
      </c>
      <c r="B7" s="4" t="s">
        <v>31</v>
      </c>
      <c r="C7" s="4" t="s">
        <v>32</v>
      </c>
      <c r="D7" s="4" t="s">
        <v>33</v>
      </c>
    </row>
    <row r="8" spans="1:4" ht="48" customHeight="1">
      <c r="A8" s="4" t="s">
        <v>2</v>
      </c>
      <c r="B8" s="4" t="s">
        <v>34</v>
      </c>
      <c r="C8" s="4">
        <v>268263</v>
      </c>
      <c r="D8" s="4" t="s">
        <v>35</v>
      </c>
    </row>
    <row r="9" spans="1:4" ht="48" customHeight="1">
      <c r="A9" s="4" t="s">
        <v>2</v>
      </c>
      <c r="B9" s="4" t="s">
        <v>36</v>
      </c>
      <c r="C9" s="4">
        <v>453.8129444444576</v>
      </c>
      <c r="D9" s="4" t="s">
        <v>37</v>
      </c>
    </row>
    <row r="10" spans="1:4" ht="48" customHeight="1">
      <c r="A10" s="4" t="s">
        <v>2</v>
      </c>
      <c r="B10" s="4" t="s">
        <v>38</v>
      </c>
      <c r="C10" s="4" t="s">
        <v>39</v>
      </c>
      <c r="D10" s="4" t="s">
        <v>40</v>
      </c>
    </row>
    <row r="11" spans="1:4" ht="48" customHeight="1">
      <c r="A11" s="4" t="s">
        <v>2</v>
      </c>
      <c r="B11" s="4" t="s">
        <v>41</v>
      </c>
      <c r="C11" s="4" t="s">
        <v>42</v>
      </c>
      <c r="D11" s="4" t="s">
        <v>43</v>
      </c>
    </row>
    <row r="12" spans="1:4" ht="48" customHeight="1">
      <c r="A12" s="4" t="s">
        <v>2</v>
      </c>
      <c r="B12" s="4" t="s">
        <v>44</v>
      </c>
      <c r="C12" s="4" t="s">
        <v>45</v>
      </c>
      <c r="D12" s="4" t="s">
        <v>46</v>
      </c>
    </row>
    <row r="13" spans="1:4" ht="48" customHeight="1">
      <c r="A13" s="4" t="s">
        <v>2</v>
      </c>
      <c r="B13" s="4" t="s">
        <v>47</v>
      </c>
      <c r="C13" s="4" t="s">
        <v>48</v>
      </c>
      <c r="D13" s="4" t="s">
        <v>49</v>
      </c>
    </row>
    <row r="14" spans="1:4" ht="48" customHeight="1">
      <c r="A14" s="4" t="s">
        <v>2</v>
      </c>
      <c r="B14" s="4" t="s">
        <v>50</v>
      </c>
      <c r="C14" s="4" t="s">
        <v>51</v>
      </c>
      <c r="D14" s="4" t="s">
        <v>52</v>
      </c>
    </row>
    <row r="15" spans="1:4" ht="48" customHeight="1">
      <c r="A15" s="4" t="s">
        <v>53</v>
      </c>
      <c r="B15" s="4" t="s">
        <v>54</v>
      </c>
      <c r="C15" s="4" t="s">
        <v>55</v>
      </c>
      <c r="D15" s="4" t="s">
        <v>56</v>
      </c>
    </row>
    <row r="16" spans="1:4" ht="48" customHeight="1">
      <c r="A16" s="4" t="s">
        <v>53</v>
      </c>
      <c r="B16" s="4" t="s">
        <v>57</v>
      </c>
      <c r="C16" s="4" t="s">
        <v>58</v>
      </c>
      <c r="D16" s="4" t="s">
        <v>59</v>
      </c>
    </row>
    <row r="17" spans="1:4" ht="48" customHeight="1">
      <c r="A17" s="4" t="s">
        <v>53</v>
      </c>
      <c r="B17" s="4" t="s">
        <v>60</v>
      </c>
      <c r="C17" s="4" t="s">
        <v>61</v>
      </c>
      <c r="D17" s="4" t="s">
        <v>62</v>
      </c>
    </row>
    <row r="18" spans="1:4" ht="48" customHeight="1">
      <c r="A18" s="4" t="s">
        <v>63</v>
      </c>
      <c r="B18" s="4" t="s">
        <v>64</v>
      </c>
      <c r="C18" s="4">
        <v>30</v>
      </c>
      <c r="D18" s="4" t="s">
        <v>65</v>
      </c>
    </row>
    <row r="19" spans="1:4" ht="48" customHeight="1">
      <c r="A19" s="4" t="s">
        <v>63</v>
      </c>
      <c r="B19" s="4" t="s">
        <v>66</v>
      </c>
      <c r="C19" s="4">
        <v>42</v>
      </c>
      <c r="D19" s="4" t="s">
        <v>67</v>
      </c>
    </row>
    <row r="20" spans="1:4" ht="48" customHeight="1">
      <c r="A20" s="4" t="s">
        <v>63</v>
      </c>
      <c r="B20" s="4" t="s">
        <v>68</v>
      </c>
      <c r="C20" s="4" t="s">
        <v>69</v>
      </c>
      <c r="D20" s="4" t="s">
        <v>70</v>
      </c>
    </row>
    <row r="21" spans="1:4" ht="48" customHeight="1">
      <c r="A21" s="4" t="s">
        <v>63</v>
      </c>
      <c r="B21" s="4" t="s">
        <v>71</v>
      </c>
      <c r="C21" s="4" t="s">
        <v>72</v>
      </c>
      <c r="D21" s="4" t="s">
        <v>73</v>
      </c>
    </row>
    <row r="22" spans="1:4" ht="48" customHeight="1">
      <c r="A22" s="4" t="s">
        <v>63</v>
      </c>
      <c r="B22" s="4" t="s">
        <v>74</v>
      </c>
      <c r="C22" s="4" t="s">
        <v>75</v>
      </c>
      <c r="D22" s="4" t="s">
        <v>76</v>
      </c>
    </row>
    <row r="23" spans="1:4" ht="48" customHeight="1">
      <c r="A23" s="4" t="s">
        <v>63</v>
      </c>
      <c r="B23" s="4" t="s">
        <v>77</v>
      </c>
      <c r="C23" s="4" t="s">
        <v>78</v>
      </c>
      <c r="D23" s="4" t="s">
        <v>79</v>
      </c>
    </row>
    <row r="24" spans="1:4" ht="48" customHeight="1">
      <c r="A24" s="4" t="s">
        <v>63</v>
      </c>
      <c r="B24" s="4" t="s">
        <v>80</v>
      </c>
      <c r="C24" s="4" t="s">
        <v>81</v>
      </c>
      <c r="D24" s="4" t="s">
        <v>82</v>
      </c>
    </row>
    <row r="25" spans="1:4" ht="48" customHeight="1">
      <c r="A25" s="4" t="s">
        <v>83</v>
      </c>
      <c r="B25" s="4" t="s">
        <v>84</v>
      </c>
      <c r="C25" s="4" t="s">
        <v>85</v>
      </c>
      <c r="D25" s="4" t="s">
        <v>86</v>
      </c>
    </row>
    <row r="26" spans="1:4" ht="48" customHeight="1">
      <c r="A26" s="4" t="s">
        <v>83</v>
      </c>
      <c r="B26" s="4" t="s">
        <v>87</v>
      </c>
      <c r="C26" s="4" t="s">
        <v>88</v>
      </c>
      <c r="D26" s="4" t="s">
        <v>89</v>
      </c>
    </row>
    <row r="27" spans="1:4" ht="48" customHeight="1">
      <c r="A27" s="4" t="s">
        <v>90</v>
      </c>
      <c r="B27" s="4" t="s">
        <v>91</v>
      </c>
      <c r="C27" s="4" t="s">
        <v>92</v>
      </c>
      <c r="D27" s="4" t="s">
        <v>93</v>
      </c>
    </row>
    <row r="28" spans="1:4" ht="48" customHeight="1">
      <c r="A28" s="4" t="s">
        <v>94</v>
      </c>
      <c r="B28" s="4" t="s">
        <v>95</v>
      </c>
      <c r="C28" s="4" t="s">
        <v>96</v>
      </c>
      <c r="D28" s="4" t="s">
        <v>97</v>
      </c>
    </row>
    <row r="29" spans="1:4" ht="48" customHeight="1">
      <c r="A29" s="4" t="s">
        <v>94</v>
      </c>
      <c r="B29" s="4" t="s">
        <v>98</v>
      </c>
      <c r="C29" s="4" t="s">
        <v>99</v>
      </c>
      <c r="D29" s="4" t="s">
        <v>100</v>
      </c>
    </row>
    <row r="30" spans="1:4" ht="48" customHeight="1">
      <c r="A30" s="4" t="s">
        <v>94</v>
      </c>
      <c r="B30" s="4" t="s">
        <v>101</v>
      </c>
      <c r="C30" s="4" t="s">
        <v>102</v>
      </c>
      <c r="D30" s="4" t="s">
        <v>103</v>
      </c>
    </row>
    <row r="31" spans="1:4" ht="48" customHeight="1">
      <c r="A31" s="4" t="s">
        <v>94</v>
      </c>
      <c r="B31" s="4" t="s">
        <v>104</v>
      </c>
      <c r="C31" s="4" t="s">
        <v>105</v>
      </c>
      <c r="D31" s="4" t="s">
        <v>106</v>
      </c>
    </row>
    <row r="32" spans="1:4" ht="48" customHeight="1">
      <c r="A32" s="4" t="s">
        <v>94</v>
      </c>
      <c r="B32" s="4" t="s">
        <v>107</v>
      </c>
      <c r="C32" s="4" t="s">
        <v>108</v>
      </c>
      <c r="D32" s="4" t="s">
        <v>109</v>
      </c>
    </row>
    <row r="33" spans="1:4" ht="48" customHeight="1">
      <c r="A33" s="4" t="s">
        <v>110</v>
      </c>
      <c r="B33" s="4" t="s">
        <v>111</v>
      </c>
      <c r="C33" s="4" t="s">
        <v>112</v>
      </c>
      <c r="D33" s="4" t="s">
        <v>113</v>
      </c>
    </row>
    <row r="34" spans="1:4" ht="48" customHeight="1">
      <c r="A34" s="4" t="s">
        <v>110</v>
      </c>
      <c r="B34" s="4" t="s">
        <v>114</v>
      </c>
      <c r="C34" s="4" t="s">
        <v>115</v>
      </c>
      <c r="D34" s="4" t="s">
        <v>116</v>
      </c>
    </row>
    <row r="35" spans="1:4" ht="48" customHeight="1">
      <c r="A35" s="4" t="s">
        <v>117</v>
      </c>
      <c r="B35" s="4" t="s">
        <v>118</v>
      </c>
      <c r="C35" s="4" t="s">
        <v>119</v>
      </c>
      <c r="D35" s="4" t="s">
        <v>120</v>
      </c>
    </row>
    <row r="36" spans="1:4" ht="48" customHeight="1">
      <c r="A36" s="4" t="s">
        <v>117</v>
      </c>
      <c r="B36" s="4" t="s">
        <v>121</v>
      </c>
      <c r="C36" s="4" t="s">
        <v>122</v>
      </c>
      <c r="D36" s="4" t="s">
        <v>123</v>
      </c>
    </row>
  </sheetData>
  <mergeCells count="2">
    <mergeCell ref="A1:D2"/>
    <mergeCell ref="A3:D3"/>
  </mergeCells>
  <pageMargins left="0.3" right="0.3" top="0.4" bottom="0.4" header="0.3" footer="0.3"/>
  <pageSetup paperSize="9" fitToHeight="0" orientation="landscape"/>
  <headerFooter>
    <oddFooter>&amp;L ASR-Direct-v1 | regular200 搜索集 &amp;R 第 &amp;P / &amp;N 页</oddFoot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0"/>
  <sheetViews>
    <sheetView showGridLines="0" workbookViewId="0">
      <pane xSplit="4" ySplit="5" topLeftCell="E6" activePane="bottomRight" state="frozen"/>
      <selection pane="topRight" activeCell="E1" sqref="E1"/>
      <selection pane="bottomLeft" activeCell="A6" sqref="A6"/>
      <selection pane="bottomRight"/>
    </sheetView>
  </sheetViews>
  <sheetFormatPr defaultRowHeight="15"/>
  <cols>
    <col min="1" max="1" width="13.7109375" customWidth="1"/>
    <col min="2" max="2" width="7.7109375" customWidth="1"/>
    <col min="3" max="4" width="12.7109375" customWidth="1"/>
    <col min="5" max="5" width="64.7109375" customWidth="1"/>
    <col min="6" max="10" width="18.7109375" customWidth="1"/>
    <col min="11" max="11" width="12.7109375" customWidth="1"/>
    <col min="12" max="12" width="22.7109375" customWidth="1"/>
    <col min="13" max="13" width="58.7109375" customWidth="1"/>
  </cols>
  <sheetData>
    <row r="1" spans="1:13">
      <c r="A1" s="1" t="s">
        <v>124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34" customHeight="1">
      <c r="A3" s="2" t="s">
        <v>125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5" spans="1:13" ht="32" customHeight="1">
      <c r="A5" t="s">
        <v>126</v>
      </c>
      <c r="B5" t="s">
        <v>127</v>
      </c>
      <c r="C5" t="s">
        <v>128</v>
      </c>
      <c r="D5" t="s">
        <v>129</v>
      </c>
      <c r="E5" t="s">
        <v>130</v>
      </c>
      <c r="F5" t="s">
        <v>131</v>
      </c>
      <c r="G5" t="s">
        <v>132</v>
      </c>
      <c r="H5" t="s">
        <v>133</v>
      </c>
      <c r="I5" t="s">
        <v>134</v>
      </c>
      <c r="J5" t="s">
        <v>135</v>
      </c>
      <c r="K5" t="s">
        <v>136</v>
      </c>
      <c r="L5" t="s">
        <v>137</v>
      </c>
      <c r="M5" t="s">
        <v>138</v>
      </c>
    </row>
    <row r="6" spans="1:13" ht="64" customHeight="1">
      <c r="A6" s="4" t="s">
        <v>139</v>
      </c>
      <c r="B6" s="8">
        <v>0</v>
      </c>
      <c r="C6" s="4" t="s">
        <v>140</v>
      </c>
      <c r="D6" s="4" t="s">
        <v>141</v>
      </c>
      <c r="E6" s="4" t="s">
        <v>142</v>
      </c>
      <c r="F6" s="5">
        <v>0.05694600674915636</v>
      </c>
      <c r="G6" s="6">
        <f>IF(F6="","",($F$6-F6)*100)</f>
        <v>0.0</v>
      </c>
      <c r="H6" s="7">
        <f>IF(F6="","",($F$6-F6)/$F$6)</f>
        <v>0.0</v>
      </c>
      <c r="I6" s="8">
        <f>IF(F6="","",ROUND(F6*7112,0))</f>
        <v>405</v>
      </c>
      <c r="J6" s="9">
        <f>IF(I6="","",$I$6-I6)</f>
        <v>0</v>
      </c>
      <c r="K6" s="4" t="s">
        <v>54</v>
      </c>
      <c r="L6" s="4" t="s">
        <v>144</v>
      </c>
      <c r="M6" s="4" t="s">
        <v>145</v>
      </c>
    </row>
    <row r="7" spans="1:13" ht="64" customHeight="1">
      <c r="A7" s="4" t="s">
        <v>146</v>
      </c>
      <c r="B7" s="8">
        <v>1</v>
      </c>
      <c r="C7" s="4" t="s">
        <v>147</v>
      </c>
      <c r="D7" s="4" t="s">
        <v>141</v>
      </c>
      <c r="E7" s="4" t="s">
        <v>148</v>
      </c>
      <c r="F7" s="5">
        <v>0.05680539932508436</v>
      </c>
      <c r="G7" s="6">
        <f>IF(F7="","",($F$6-F7)*100)</f>
        <v>0.014060742407199373</v>
      </c>
      <c r="H7" s="7">
        <f>IF(F7="","",($F$6-F7)/$F$6)</f>
        <v>0.0024691358024691835</v>
      </c>
      <c r="I7" s="8">
        <f>IF(F7="","",ROUND(F7*7112,0))</f>
        <v>404</v>
      </c>
      <c r="J7" s="9">
        <f>IF(I7="","",$I$6-I7)</f>
        <v>1</v>
      </c>
      <c r="K7" s="4" t="str">
        <f>IF(F7="","待评测",IF(F7&lt;$F$6,"改善",IF(F7&gt;$F$6,"退化","持平")))</f>
        <v>改善</v>
      </c>
      <c r="L7" s="4" t="s">
        <v>149</v>
      </c>
      <c r="M7" s="4" t="s">
        <v>150</v>
      </c>
    </row>
    <row r="8" spans="1:13" ht="64" customHeight="1">
      <c r="A8" s="4" t="s">
        <v>151</v>
      </c>
      <c r="B8" s="8">
        <v>1</v>
      </c>
      <c r="C8" s="4" t="s">
        <v>152</v>
      </c>
      <c r="D8" s="4" t="s">
        <v>141</v>
      </c>
      <c r="E8" s="4" t="s">
        <v>153</v>
      </c>
      <c r="F8" s="5">
        <v>0.05652418447694038</v>
      </c>
      <c r="G8" s="6">
        <f>IF(F8="","",($F$6-F8)*100)</f>
        <v>0.042182227221597424</v>
      </c>
      <c r="H8" s="7">
        <f>IF(F8="","",($F$6-F8)/$F$6)</f>
        <v>0.007407407407407429</v>
      </c>
      <c r="I8" s="8">
        <f>IF(F8="","",ROUND(F8*7112,0))</f>
        <v>402</v>
      </c>
      <c r="J8" s="9">
        <f>IF(I8="","",$I$6-I8)</f>
        <v>3</v>
      </c>
      <c r="K8" s="4" t="str">
        <f>IF(F8="","待评测",IF(F8&lt;$F$6,"改善",IF(F8&gt;$F$6,"退化","持平")))</f>
        <v>改善</v>
      </c>
      <c r="L8" s="4" t="s">
        <v>149</v>
      </c>
      <c r="M8" s="4" t="s">
        <v>154</v>
      </c>
    </row>
    <row r="9" spans="1:13" ht="64" customHeight="1">
      <c r="A9" s="4" t="s">
        <v>155</v>
      </c>
      <c r="B9" s="8">
        <v>1</v>
      </c>
      <c r="C9" s="4" t="s">
        <v>156</v>
      </c>
      <c r="D9" s="4" t="s">
        <v>141</v>
      </c>
      <c r="E9" s="4" t="s">
        <v>157</v>
      </c>
      <c r="F9" s="5">
        <v>0.05610236220472441</v>
      </c>
      <c r="G9" s="6">
        <f>IF(F9="","",($F$6-F9)*100)</f>
        <v>0.08436445444319485</v>
      </c>
      <c r="H9" s="7">
        <f>IF(F9="","",($F$6-F9)/$F$6)</f>
        <v>0.014814814814814859</v>
      </c>
      <c r="I9" s="8">
        <f>IF(F9="","",ROUND(F9*7112,0))</f>
        <v>399</v>
      </c>
      <c r="J9" s="9">
        <f>IF(I9="","",$I$6-I9)</f>
        <v>6</v>
      </c>
      <c r="K9" s="4" t="str">
        <f>IF(F9="","待评测",IF(F9&lt;$F$6,"改善",IF(F9&gt;$F$6,"退化","持平")))</f>
        <v>改善</v>
      </c>
      <c r="L9" s="4" t="s">
        <v>149</v>
      </c>
      <c r="M9" s="4" t="s">
        <v>158</v>
      </c>
    </row>
    <row r="10" spans="1:13" ht="64" customHeight="1">
      <c r="A10" s="4" t="s">
        <v>159</v>
      </c>
      <c r="B10" s="8">
        <v>1</v>
      </c>
      <c r="C10" s="4" t="s">
        <v>160</v>
      </c>
      <c r="D10" s="4" t="s">
        <v>141</v>
      </c>
      <c r="E10" s="4" t="s">
        <v>161</v>
      </c>
      <c r="F10" s="5">
        <v>0.05736782902137233</v>
      </c>
      <c r="G10" s="6">
        <f>IF(F10="","",($F$6-F10)*100)</f>
        <v>-0.042182227221597424</v>
      </c>
      <c r="H10" s="7">
        <f>IF(F10="","",($F$6-F10)/$F$6)</f>
        <v>-0.007407407407407429</v>
      </c>
      <c r="I10" s="8">
        <f>IF(F10="","",ROUND(F10*7112,0))</f>
        <v>408</v>
      </c>
      <c r="J10" s="9">
        <f>IF(I10="","",$I$6-I10)</f>
        <v>-3</v>
      </c>
      <c r="K10" s="4" t="str">
        <f>IF(F10="","待评测",IF(F10&lt;$F$6,"改善",IF(F10&gt;$F$6,"退化","持平")))</f>
        <v>退化</v>
      </c>
      <c r="L10" s="4" t="s">
        <v>149</v>
      </c>
      <c r="M10" s="4" t="s">
        <v>162</v>
      </c>
    </row>
    <row r="11" spans="1:13" ht="64" customHeight="1">
      <c r="A11" s="4" t="s">
        <v>163</v>
      </c>
      <c r="B11" s="8">
        <v>2</v>
      </c>
      <c r="C11" s="4" t="s">
        <v>164</v>
      </c>
      <c r="D11" s="4" t="s">
        <v>141</v>
      </c>
      <c r="E11" s="4" t="s">
        <v>165</v>
      </c>
      <c r="F11" s="5">
        <v>0.05455568053993251</v>
      </c>
      <c r="G11" s="6">
        <f>IF(F11="","",($F$6-F11)*100)</f>
        <v>0.23903262092238448</v>
      </c>
      <c r="H11" s="7">
        <f>IF(F11="","",($F$6-F11)/$F$6)</f>
        <v>0.04197530864197527</v>
      </c>
      <c r="I11" s="8">
        <f>IF(F11="","",ROUND(F11*7112,0))</f>
        <v>388</v>
      </c>
      <c r="J11" s="9">
        <f>IF(I11="","",$I$6-I11)</f>
        <v>17</v>
      </c>
      <c r="K11" s="4" t="str">
        <f>IF(F11="","待评测",IF(F11&lt;$F$6,"改善",IF(F11&gt;$F$6,"退化","持平")))</f>
        <v>改善</v>
      </c>
      <c r="L11" s="4" t="s">
        <v>149</v>
      </c>
      <c r="M11" s="4" t="s">
        <v>166</v>
      </c>
    </row>
    <row r="12" spans="1:13" ht="64" customHeight="1">
      <c r="A12" s="4" t="s">
        <v>167</v>
      </c>
      <c r="B12" s="8">
        <v>2</v>
      </c>
      <c r="C12" s="4" t="s">
        <v>168</v>
      </c>
      <c r="D12" s="4" t="s">
        <v>141</v>
      </c>
      <c r="E12" s="4" t="s">
        <v>169</v>
      </c>
      <c r="F12" s="5">
        <v>0.05807086614173228</v>
      </c>
      <c r="G12" s="6">
        <f>IF(F12="","",($F$6-F12)*100)</f>
        <v>-0.1124859392575929</v>
      </c>
      <c r="H12" s="7">
        <f>IF(F12="","",($F$6-F12)/$F$6)</f>
        <v>-0.019753086419753103</v>
      </c>
      <c r="I12" s="8">
        <f>IF(F12="","",ROUND(F12*7112,0))</f>
        <v>413</v>
      </c>
      <c r="J12" s="9">
        <f>IF(I12="","",$I$6-I12)</f>
        <v>-8</v>
      </c>
      <c r="K12" s="4" t="str">
        <f>IF(F12="","待评测",IF(F12&lt;$F$6,"改善",IF(F12&gt;$F$6,"退化","持平")))</f>
        <v>退化</v>
      </c>
      <c r="L12" s="4" t="s">
        <v>149</v>
      </c>
      <c r="M12" s="4" t="s">
        <v>170</v>
      </c>
    </row>
    <row r="13" spans="1:13" ht="64" customHeight="1">
      <c r="A13" s="4" t="s">
        <v>171</v>
      </c>
      <c r="B13" s="8">
        <v>2</v>
      </c>
      <c r="C13" s="4" t="s">
        <v>172</v>
      </c>
      <c r="D13" s="4" t="s">
        <v>141</v>
      </c>
      <c r="E13" s="4" t="s">
        <v>173</v>
      </c>
      <c r="F13" s="5">
        <v>0.05652418447694038</v>
      </c>
      <c r="G13" s="6">
        <f>IF(F13="","",($F$6-F13)*100)</f>
        <v>0.042182227221597424</v>
      </c>
      <c r="H13" s="7">
        <f>IF(F13="","",($F$6-F13)/$F$6)</f>
        <v>0.007407407407407429</v>
      </c>
      <c r="I13" s="8">
        <f>IF(F13="","",ROUND(F13*7112,0))</f>
        <v>402</v>
      </c>
      <c r="J13" s="9">
        <f>IF(I13="","",$I$6-I13)</f>
        <v>3</v>
      </c>
      <c r="K13" s="4" t="str">
        <f>IF(F13="","待评测",IF(F13&lt;$F$6,"改善",IF(F13&gt;$F$6,"退化","持平")))</f>
        <v>改善</v>
      </c>
      <c r="L13" s="4" t="s">
        <v>149</v>
      </c>
      <c r="M13" s="4" t="s">
        <v>174</v>
      </c>
    </row>
    <row r="14" spans="1:13" ht="64" customHeight="1">
      <c r="A14" s="4" t="s">
        <v>175</v>
      </c>
      <c r="B14" s="8">
        <v>2</v>
      </c>
      <c r="C14" s="4" t="s">
        <v>176</v>
      </c>
      <c r="D14" s="4" t="s">
        <v>141</v>
      </c>
      <c r="E14" s="4" t="s">
        <v>177</v>
      </c>
      <c r="F14" s="5">
        <v>0.05736782902137233</v>
      </c>
      <c r="G14" s="6">
        <f>IF(F14="","",($F$6-F14)*100)</f>
        <v>-0.042182227221597424</v>
      </c>
      <c r="H14" s="7">
        <f>IF(F14="","",($F$6-F14)/$F$6)</f>
        <v>-0.007407407407407429</v>
      </c>
      <c r="I14" s="8">
        <f>IF(F14="","",ROUND(F14*7112,0))</f>
        <v>408</v>
      </c>
      <c r="J14" s="9">
        <f>IF(I14="","",$I$6-I14)</f>
        <v>-3</v>
      </c>
      <c r="K14" s="4" t="str">
        <f>IF(F14="","待评测",IF(F14&lt;$F$6,"改善",IF(F14&gt;$F$6,"退化","持平")))</f>
        <v>退化</v>
      </c>
      <c r="L14" s="4" t="s">
        <v>149</v>
      </c>
      <c r="M14" s="4" t="s">
        <v>178</v>
      </c>
    </row>
    <row r="15" spans="1:13" ht="64" customHeight="1">
      <c r="A15" s="4" t="s">
        <v>179</v>
      </c>
      <c r="B15" s="8">
        <v>3</v>
      </c>
      <c r="C15" s="4" t="s">
        <v>180</v>
      </c>
      <c r="D15" s="4" t="s">
        <v>141</v>
      </c>
      <c r="E15" s="4" t="s">
        <v>181</v>
      </c>
      <c r="F15" s="5">
        <v>0.05863329583802025</v>
      </c>
      <c r="G15" s="6">
        <f>IF(F15="","",($F$6-F15)*100)</f>
        <v>-0.168728908886389</v>
      </c>
      <c r="H15" s="7">
        <f>IF(F15="","",($F$6-F15)/$F$6)</f>
        <v>-0.029629629629629596</v>
      </c>
      <c r="I15" s="8">
        <f>IF(F15="","",ROUND(F15*7112,0))</f>
        <v>417</v>
      </c>
      <c r="J15" s="9">
        <f>IF(I15="","",$I$6-I15)</f>
        <v>-12</v>
      </c>
      <c r="K15" s="4" t="str">
        <f>IF(F15="","待评测",IF(F15&lt;$F$6,"改善",IF(F15&gt;$F$6,"退化","持平")))</f>
        <v>退化</v>
      </c>
      <c r="L15" s="4" t="s">
        <v>149</v>
      </c>
      <c r="M15" s="4" t="s">
        <v>182</v>
      </c>
    </row>
    <row r="16" spans="1:13" ht="64" customHeight="1">
      <c r="A16" s="4" t="s">
        <v>183</v>
      </c>
      <c r="B16" s="8">
        <v>3</v>
      </c>
      <c r="C16" s="4" t="s">
        <v>184</v>
      </c>
      <c r="D16" s="4" t="s">
        <v>141</v>
      </c>
      <c r="E16" s="4" t="s">
        <v>185</v>
      </c>
      <c r="F16" s="5">
        <v>0.05638357705286839</v>
      </c>
      <c r="G16" s="6">
        <f>IF(F16="","",($F$6-F16)*100)</f>
        <v>0.0562429696287961</v>
      </c>
      <c r="H16" s="7">
        <f>IF(F16="","",($F$6-F16)/$F$6)</f>
        <v>0.009876543209876491</v>
      </c>
      <c r="I16" s="8">
        <f>IF(F16="","",ROUND(F16*7112,0))</f>
        <v>401</v>
      </c>
      <c r="J16" s="9">
        <f>IF(I16="","",$I$6-I16)</f>
        <v>4</v>
      </c>
      <c r="K16" s="4" t="str">
        <f>IF(F16="","待评测",IF(F16&lt;$F$6,"改善",IF(F16&gt;$F$6,"退化","持平")))</f>
        <v>改善</v>
      </c>
      <c r="L16" s="4" t="s">
        <v>149</v>
      </c>
      <c r="M16" s="4" t="s">
        <v>186</v>
      </c>
    </row>
    <row r="17" spans="1:13" ht="64" customHeight="1">
      <c r="A17" s="4" t="s">
        <v>187</v>
      </c>
      <c r="B17" s="8">
        <v>3</v>
      </c>
      <c r="C17" s="4" t="s">
        <v>188</v>
      </c>
      <c r="D17" s="4" t="s">
        <v>141</v>
      </c>
      <c r="E17" s="4" t="s">
        <v>189</v>
      </c>
      <c r="F17" s="5">
        <v>0.05736782902137233</v>
      </c>
      <c r="G17" s="6">
        <f>IF(F17="","",($F$6-F17)*100)</f>
        <v>-0.042182227221597424</v>
      </c>
      <c r="H17" s="7">
        <f>IF(F17="","",($F$6-F17)/$F$6)</f>
        <v>-0.007407407407407429</v>
      </c>
      <c r="I17" s="8">
        <f>IF(F17="","",ROUND(F17*7112,0))</f>
        <v>408</v>
      </c>
      <c r="J17" s="9">
        <f>IF(I17="","",$I$6-I17)</f>
        <v>-3</v>
      </c>
      <c r="K17" s="4" t="str">
        <f>IF(F17="","待评测",IF(F17&lt;$F$6,"改善",IF(F17&gt;$F$6,"退化","持平")))</f>
        <v>退化</v>
      </c>
      <c r="L17" s="4" t="s">
        <v>149</v>
      </c>
      <c r="M17" s="4" t="s">
        <v>190</v>
      </c>
    </row>
    <row r="18" spans="1:13" ht="64" customHeight="1">
      <c r="A18" s="4" t="s">
        <v>191</v>
      </c>
      <c r="B18" s="8">
        <v>3</v>
      </c>
      <c r="C18" s="4" t="s">
        <v>192</v>
      </c>
      <c r="D18" s="4" t="s">
        <v>141</v>
      </c>
      <c r="E18" s="4" t="s">
        <v>193</v>
      </c>
      <c r="F18" s="5">
        <v>0.05455568053993251</v>
      </c>
      <c r="G18" s="6">
        <f>IF(F18="","",($F$6-F18)*100)</f>
        <v>0.23903262092238448</v>
      </c>
      <c r="H18" s="7">
        <f>IF(F18="","",($F$6-F18)/$F$6)</f>
        <v>0.04197530864197527</v>
      </c>
      <c r="I18" s="8">
        <f>IF(F18="","",ROUND(F18*7112,0))</f>
        <v>388</v>
      </c>
      <c r="J18" s="9">
        <f>IF(I18="","",$I$6-I18)</f>
        <v>17</v>
      </c>
      <c r="K18" s="4" t="str">
        <f>IF(F18="","待评测",IF(F18&lt;$F$6,"改善",IF(F18&gt;$F$6,"退化","持平")))</f>
        <v>改善</v>
      </c>
      <c r="L18" s="4" t="s">
        <v>149</v>
      </c>
      <c r="M18" s="4" t="s">
        <v>194</v>
      </c>
    </row>
    <row r="19" spans="1:13" ht="64" customHeight="1">
      <c r="A19" s="4" t="s">
        <v>195</v>
      </c>
      <c r="B19" s="8">
        <v>4</v>
      </c>
      <c r="C19" s="4" t="s">
        <v>196</v>
      </c>
      <c r="D19" s="4" t="s">
        <v>141</v>
      </c>
      <c r="E19" s="4" t="s">
        <v>197</v>
      </c>
      <c r="F19" s="5">
        <v>0.05413385826771654</v>
      </c>
      <c r="G19" s="6">
        <f>IF(F19="","",($F$6-F19)*100)</f>
        <v>0.2812148481439819</v>
      </c>
      <c r="H19" s="7">
        <f>IF(F19="","",($F$6-F19)/$F$6)</f>
        <v>0.0493827160493827</v>
      </c>
      <c r="I19" s="8">
        <f>IF(F19="","",ROUND(F19*7112,0))</f>
        <v>385</v>
      </c>
      <c r="J19" s="9">
        <f>IF(I19="","",$I$6-I19)</f>
        <v>20</v>
      </c>
      <c r="K19" s="4" t="str">
        <f>IF(F19="","待评测",IF(F19&lt;$F$6,"改善",IF(F19&gt;$F$6,"退化","持平")))</f>
        <v>改善</v>
      </c>
      <c r="L19" s="4" t="s">
        <v>198</v>
      </c>
      <c r="M19" s="4" t="s">
        <v>199</v>
      </c>
    </row>
    <row r="20" spans="1:13" ht="64" customHeight="1">
      <c r="A20" s="4" t="s">
        <v>200</v>
      </c>
      <c r="B20" s="8">
        <v>4</v>
      </c>
      <c r="C20" s="4" t="s">
        <v>11</v>
      </c>
      <c r="D20" s="4" t="s">
        <v>141</v>
      </c>
      <c r="E20" s="4" t="s">
        <v>201</v>
      </c>
      <c r="F20" s="5">
        <v>0.05371203599550056</v>
      </c>
      <c r="G20" s="6">
        <f>IF(F20="","",($F$6-F20)*100)</f>
        <v>0.3233970753655793</v>
      </c>
      <c r="H20" s="7">
        <f>IF(F20="","",($F$6-F20)/$F$6)</f>
        <v>0.056790123456790124</v>
      </c>
      <c r="I20" s="8">
        <f>IF(F20="","",ROUND(F20*7112,0))</f>
        <v>382</v>
      </c>
      <c r="J20" s="9">
        <f>IF(I20="","",$I$6-I20)</f>
        <v>23</v>
      </c>
      <c r="K20" s="4" t="str">
        <f>IF(F20="","待评测",IF(F20&lt;$F$6,"改善",IF(F20&gt;$F$6,"退化","持平")))</f>
        <v>改善</v>
      </c>
      <c r="L20" s="4" t="s">
        <v>198</v>
      </c>
      <c r="M20" s="4" t="s">
        <v>202</v>
      </c>
    </row>
    <row r="21" spans="1:13" ht="64" customHeight="1">
      <c r="A21" s="4" t="s">
        <v>203</v>
      </c>
      <c r="B21" s="8">
        <v>4</v>
      </c>
      <c r="C21" s="4" t="s">
        <v>204</v>
      </c>
      <c r="D21" s="4" t="s">
        <v>141</v>
      </c>
      <c r="E21" s="4" t="s">
        <v>205</v>
      </c>
      <c r="F21" s="5">
        <v>0.05539932508436445</v>
      </c>
      <c r="G21" s="6">
        <f>IF(F21="","",($F$6-F21)*100)</f>
        <v>0.15466816647919032</v>
      </c>
      <c r="H21" s="7">
        <f>IF(F21="","",($F$6-F21)/$F$6)</f>
        <v>0.027160493827160532</v>
      </c>
      <c r="I21" s="8">
        <f>IF(F21="","",ROUND(F21*7112,0))</f>
        <v>394</v>
      </c>
      <c r="J21" s="9">
        <f>IF(I21="","",$I$6-I21)</f>
        <v>11</v>
      </c>
      <c r="K21" s="4" t="str">
        <f>IF(F21="","待评测",IF(F21&lt;$F$6,"改善",IF(F21&gt;$F$6,"退化","持平")))</f>
        <v>改善</v>
      </c>
      <c r="L21" s="4" t="s">
        <v>198</v>
      </c>
      <c r="M21" s="4" t="s">
        <v>206</v>
      </c>
    </row>
    <row r="22" spans="1:13" ht="64" customHeight="1">
      <c r="A22" s="4" t="s">
        <v>207</v>
      </c>
      <c r="B22" s="8">
        <v>4</v>
      </c>
      <c r="C22" s="4" t="s">
        <v>208</v>
      </c>
      <c r="D22" s="4" t="s">
        <v>141</v>
      </c>
      <c r="E22" s="4" t="s">
        <v>209</v>
      </c>
      <c r="F22" s="5">
        <v>0.05568053993250844</v>
      </c>
      <c r="G22" s="6">
        <f>IF(F22="","",($F$6-F22)*100)</f>
        <v>0.12654668166479158</v>
      </c>
      <c r="H22" s="7">
        <f>IF(F22="","",($F$6-F22)/$F$6)</f>
        <v>0.022222222222222164</v>
      </c>
      <c r="I22" s="8">
        <f>IF(F22="","",ROUND(F22*7112,0))</f>
        <v>396</v>
      </c>
      <c r="J22" s="9">
        <f>IF(I22="","",$I$6-I22)</f>
        <v>9</v>
      </c>
      <c r="K22" s="4" t="str">
        <f>IF(F22="","待评测",IF(F22&lt;$F$6,"改善",IF(F22&gt;$F$6,"退化","持平")))</f>
        <v>改善</v>
      </c>
      <c r="L22" s="4" t="s">
        <v>198</v>
      </c>
      <c r="M22" s="4" t="s">
        <v>210</v>
      </c>
    </row>
    <row r="23" spans="1:13" ht="64" customHeight="1">
      <c r="A23" s="4" t="s">
        <v>211</v>
      </c>
      <c r="B23" s="8">
        <v>5</v>
      </c>
      <c r="C23" s="4" t="s">
        <v>212</v>
      </c>
      <c r="D23" s="4" t="s">
        <v>141</v>
      </c>
      <c r="E23" s="4" t="s">
        <v>213</v>
      </c>
      <c r="F23" s="5">
        <v>0.05722722159730034</v>
      </c>
      <c r="G23" s="6">
        <f>IF(F23="","",($F$6-F23)*100)</f>
        <v>-0.02812148481439805</v>
      </c>
      <c r="H23" s="7">
        <f>IF(F23="","",($F$6-F23)/$F$6)</f>
        <v>-0.0049382716049382455</v>
      </c>
      <c r="I23" s="8">
        <f>IF(F23="","",ROUND(F23*7112,0))</f>
        <v>407</v>
      </c>
      <c r="J23" s="9">
        <f>IF(I23="","",$I$6-I23)</f>
        <v>-2</v>
      </c>
      <c r="K23" s="4" t="str">
        <f>IF(F23="","待评测",IF(F23&lt;$F$6,"改善",IF(F23&gt;$F$6,"退化","持平")))</f>
        <v>退化</v>
      </c>
      <c r="L23" s="4" t="s">
        <v>198</v>
      </c>
      <c r="M23" s="4" t="s">
        <v>214</v>
      </c>
    </row>
    <row r="24" spans="1:13" ht="64" customHeight="1">
      <c r="A24" s="4" t="s">
        <v>215</v>
      </c>
      <c r="B24" s="8">
        <v>5</v>
      </c>
      <c r="C24" s="4" t="s">
        <v>216</v>
      </c>
      <c r="D24" s="4" t="s">
        <v>141</v>
      </c>
      <c r="E24" s="4" t="s">
        <v>217</v>
      </c>
      <c r="F24" s="5">
        <v>0.05764904386951631</v>
      </c>
      <c r="G24" s="6">
        <f>IF(F24="","",($F$6-F24)*100)</f>
        <v>-0.07030371203599547</v>
      </c>
      <c r="H24" s="7">
        <f>IF(F24="","",($F$6-F24)/$F$6)</f>
        <v>-0.012345679012345675</v>
      </c>
      <c r="I24" s="8">
        <f>IF(F24="","",ROUND(F24*7112,0))</f>
        <v>410</v>
      </c>
      <c r="J24" s="9">
        <f>IF(I24="","",$I$6-I24)</f>
        <v>-5</v>
      </c>
      <c r="K24" s="4" t="str">
        <f>IF(F24="","待评测",IF(F24&lt;$F$6,"改善",IF(F24&gt;$F$6,"退化","持平")))</f>
        <v>退化</v>
      </c>
      <c r="L24" s="4" t="s">
        <v>198</v>
      </c>
      <c r="M24" s="4" t="s">
        <v>218</v>
      </c>
    </row>
    <row r="25" spans="1:13" ht="64" customHeight="1">
      <c r="A25" s="4" t="s">
        <v>219</v>
      </c>
      <c r="B25" s="8">
        <v>5</v>
      </c>
      <c r="C25" s="4" t="s">
        <v>220</v>
      </c>
      <c r="D25" s="4" t="s">
        <v>141</v>
      </c>
      <c r="E25" s="4" t="s">
        <v>221</v>
      </c>
      <c r="F25" s="5">
        <v>0.05961754780652419</v>
      </c>
      <c r="G25" s="6">
        <f>IF(F25="","",($F$6-F25)*100)</f>
        <v>-0.2671541057367832</v>
      </c>
      <c r="H25" s="7">
        <f>IF(F25="","",($F$6-F25)/$F$6)</f>
        <v>-0.04691358024691364</v>
      </c>
      <c r="I25" s="8">
        <f>IF(F25="","",ROUND(F25*7112,0))</f>
        <v>424</v>
      </c>
      <c r="J25" s="9">
        <f>IF(I25="","",$I$6-I25)</f>
        <v>-19</v>
      </c>
      <c r="K25" s="4" t="str">
        <f>IF(F25="","待评测",IF(F25&lt;$F$6,"改善",IF(F25&gt;$F$6,"退化","持平")))</f>
        <v>退化</v>
      </c>
      <c r="L25" s="4" t="s">
        <v>198</v>
      </c>
      <c r="M25" s="4" t="s">
        <v>222</v>
      </c>
    </row>
    <row r="26" spans="1:13" ht="64" customHeight="1">
      <c r="A26" s="4" t="s">
        <v>223</v>
      </c>
      <c r="B26" s="8">
        <v>5</v>
      </c>
      <c r="C26" s="4" t="s">
        <v>224</v>
      </c>
      <c r="D26" s="4" t="s">
        <v>141</v>
      </c>
      <c r="E26" s="4" t="s">
        <v>225</v>
      </c>
      <c r="F26" s="5">
        <v>0.05610236220472441</v>
      </c>
      <c r="G26" s="6">
        <f>IF(F26="","",($F$6-F26)*100)</f>
        <v>0.08436445444319485</v>
      </c>
      <c r="H26" s="7">
        <f>IF(F26="","",($F$6-F26)/$F$6)</f>
        <v>0.014814814814814859</v>
      </c>
      <c r="I26" s="8">
        <f>IF(F26="","",ROUND(F26*7112,0))</f>
        <v>399</v>
      </c>
      <c r="J26" s="9">
        <f>IF(I26="","",$I$6-I26)</f>
        <v>6</v>
      </c>
      <c r="K26" s="4" t="str">
        <f>IF(F26="","待评测",IF(F26&lt;$F$6,"改善",IF(F26&gt;$F$6,"退化","持平")))</f>
        <v>改善</v>
      </c>
      <c r="L26" s="4" t="s">
        <v>198</v>
      </c>
      <c r="M26" s="4" t="s">
        <v>226</v>
      </c>
    </row>
    <row r="27" spans="1:13" ht="64" customHeight="1">
      <c r="A27" s="4" t="s">
        <v>227</v>
      </c>
      <c r="B27" s="8">
        <v>6</v>
      </c>
      <c r="C27" s="4" t="s">
        <v>228</v>
      </c>
      <c r="D27" s="4" t="s">
        <v>229</v>
      </c>
      <c r="E27" s="4" t="s">
        <v>230</v>
      </c>
      <c r="F27" s="5"/>
      <c r="G27" s="6">
        <f>IF(F27="","",($F$6-F27)*100)</f>
        <v/>
      </c>
      <c r="H27" s="7">
        <f>IF(F27="","",($F$6-F27)/$F$6)</f>
        <v/>
      </c>
      <c r="I27" s="8">
        <f>IF(F27="","",ROUND(F27*7112,0))</f>
        <v/>
      </c>
      <c r="J27" s="9">
        <f>IF(I27="","",$I$6-I27)</f>
        <v/>
      </c>
      <c r="K27" s="4" t="str">
        <f>IF(F27="","待评测",IF(F27&lt;$F$6,"改善",IF(F27&gt;$F$6,"退化","持平")))</f>
        <v>待评测</v>
      </c>
      <c r="L27" s="4" t="s">
        <v>198</v>
      </c>
      <c r="M27" s="4" t="s">
        <v>231</v>
      </c>
    </row>
    <row r="28" spans="1:13" ht="64" customHeight="1">
      <c r="A28" s="4" t="s">
        <v>232</v>
      </c>
      <c r="B28" s="8">
        <v>6</v>
      </c>
      <c r="C28" s="4" t="s">
        <v>233</v>
      </c>
      <c r="D28" s="4" t="s">
        <v>229</v>
      </c>
      <c r="E28" s="4" t="s">
        <v>234</v>
      </c>
      <c r="F28" s="5"/>
      <c r="G28" s="6">
        <f>IF(F28="","",($F$6-F28)*100)</f>
        <v/>
      </c>
      <c r="H28" s="7">
        <f>IF(F28="","",($F$6-F28)/$F$6)</f>
        <v/>
      </c>
      <c r="I28" s="8">
        <f>IF(F28="","",ROUND(F28*7112,0))</f>
        <v/>
      </c>
      <c r="J28" s="9">
        <f>IF(I28="","",$I$6-I28)</f>
        <v/>
      </c>
      <c r="K28" s="4" t="str">
        <f>IF(F28="","待评测",IF(F28&lt;$F$6,"改善",IF(F28&gt;$F$6,"退化","持平")))</f>
        <v>待评测</v>
      </c>
      <c r="L28" s="4" t="s">
        <v>198</v>
      </c>
      <c r="M28" s="4" t="s">
        <v>235</v>
      </c>
    </row>
    <row r="29" spans="1:13" ht="64" customHeight="1">
      <c r="A29" s="4" t="s">
        <v>236</v>
      </c>
      <c r="B29" s="8">
        <v>6</v>
      </c>
      <c r="C29" s="4" t="s">
        <v>237</v>
      </c>
      <c r="D29" s="4" t="s">
        <v>229</v>
      </c>
      <c r="E29" s="4" t="s">
        <v>238</v>
      </c>
      <c r="F29" s="5"/>
      <c r="G29" s="6">
        <f>IF(F29="","",($F$6-F29)*100)</f>
        <v/>
      </c>
      <c r="H29" s="7">
        <f>IF(F29="","",($F$6-F29)/$F$6)</f>
        <v/>
      </c>
      <c r="I29" s="8">
        <f>IF(F29="","",ROUND(F29*7112,0))</f>
        <v/>
      </c>
      <c r="J29" s="9">
        <f>IF(I29="","",$I$6-I29)</f>
        <v/>
      </c>
      <c r="K29" s="4" t="str">
        <f>IF(F29="","待评测",IF(F29&lt;$F$6,"改善",IF(F29&gt;$F$6,"退化","持平")))</f>
        <v>待评测</v>
      </c>
      <c r="L29" s="4" t="s">
        <v>198</v>
      </c>
      <c r="M29" s="4" t="s">
        <v>239</v>
      </c>
    </row>
    <row r="30" spans="1:13" ht="64" customHeight="1">
      <c r="A30" s="4" t="s">
        <v>240</v>
      </c>
      <c r="B30" s="8">
        <v>6</v>
      </c>
      <c r="C30" s="4" t="s">
        <v>241</v>
      </c>
      <c r="D30" s="4" t="s">
        <v>229</v>
      </c>
      <c r="E30" s="4" t="s">
        <v>242</v>
      </c>
      <c r="F30" s="5"/>
      <c r="G30" s="6">
        <f>IF(F30="","",($F$6-F30)*100)</f>
        <v/>
      </c>
      <c r="H30" s="7">
        <f>IF(F30="","",($F$6-F30)/$F$6)</f>
        <v/>
      </c>
      <c r="I30" s="8">
        <f>IF(F30="","",ROUND(F30*7112,0))</f>
        <v/>
      </c>
      <c r="J30" s="9">
        <f>IF(I30="","",$I$6-I30)</f>
        <v/>
      </c>
      <c r="K30" s="4" t="str">
        <f>IF(F30="","待评测",IF(F30&lt;$F$6,"改善",IF(F30&gt;$F$6,"退化","持平")))</f>
        <v>待评测</v>
      </c>
      <c r="L30" s="4" t="s">
        <v>198</v>
      </c>
      <c r="M30" s="4" t="s">
        <v>243</v>
      </c>
    </row>
  </sheetData>
  <mergeCells count="2">
    <mergeCell ref="A1:M2"/>
    <mergeCell ref="A3:M3"/>
  </mergeCells>
  <conditionalFormatting sqref="A7:F30">
    <cfRule type="expression" dxfId="0" priority="7">
      <formula>AND(ISNUMBER($F7),$F7=MIN($F$7:$F$30))</formula>
    </cfRule>
  </conditionalFormatting>
  <conditionalFormatting sqref="A7:M30">
    <cfRule type="expression" dxfId="2" priority="8">
      <formula>$D7="待评测"</formula>
    </cfRule>
  </conditionalFormatting>
  <conditionalFormatting sqref="G7:G30">
    <cfRule type="cellIs" dxfId="0" priority="1" operator="greaterThan">
      <formula>0</formula>
    </cfRule>
    <cfRule type="cellIs" dxfId="1" priority="2" operator="lessThan">
      <formula>0</formula>
    </cfRule>
  </conditionalFormatting>
  <conditionalFormatting sqref="H7:H30">
    <cfRule type="cellIs" dxfId="0" priority="3" operator="greaterThan">
      <formula>0</formula>
    </cfRule>
    <cfRule type="cellIs" dxfId="1" priority="4" operator="lessThan">
      <formula>0</formula>
    </cfRule>
  </conditionalFormatting>
  <conditionalFormatting sqref="J7:J30">
    <cfRule type="cellIs" dxfId="0" priority="5" operator="greaterThan">
      <formula>0</formula>
    </cfRule>
    <cfRule type="cellIs" dxfId="1" priority="6" operator="lessThan">
      <formula>0</formula>
    </cfRule>
  </conditionalFormatting>
  <pageMargins left="0.3" right="0.3" top="0.4" bottom="0.4" header="0.3" footer="0.3"/>
  <pageSetup paperSize="9" fitToHeight="0" orientation="landscape"/>
  <headerFooter>
    <oddFooter>&amp;L ASR-Direct-v1 | regular200 搜索集 &amp;R 第 &amp;P / &amp;N 页</oddFooter>
  </headerFooter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G30"/>
  <sheetViews>
    <sheetView showGridLines="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 outlineLevelCol="1"/>
  <cols>
    <col min="1" max="3" width="12.7109375" customWidth="1"/>
    <col min="4" max="4" width="22.7109375" customWidth="1"/>
    <col min="5" max="7" width="34.7109375" customWidth="1"/>
    <col min="8" max="8" width="10.7109375" customWidth="1"/>
    <col min="9" max="9" width="84.7109375" customWidth="1"/>
    <col min="10" max="33" width="10.7109375" hidden="1" customWidth="1" outlineLevel="1"/>
  </cols>
  <sheetData>
    <row r="1" spans="1:33">
      <c r="A1" s="1" t="s">
        <v>244</v>
      </c>
      <c r="B1" s="1"/>
      <c r="C1" s="1"/>
      <c r="D1" s="1"/>
      <c r="E1" s="1"/>
      <c r="F1" s="1"/>
      <c r="G1" s="1"/>
      <c r="H1" s="1"/>
      <c r="I1" s="1"/>
    </row>
    <row r="2" spans="1:33">
      <c r="A2" s="1"/>
      <c r="B2" s="1"/>
      <c r="C2" s="1"/>
      <c r="D2" s="1"/>
      <c r="E2" s="1"/>
      <c r="F2" s="1"/>
      <c r="G2" s="1"/>
      <c r="H2" s="1"/>
      <c r="I2" s="1"/>
    </row>
    <row r="3" spans="1:33" ht="34" customHeight="1">
      <c r="A3" s="2" t="s">
        <v>245</v>
      </c>
      <c r="B3" s="2"/>
      <c r="C3" s="2"/>
      <c r="D3" s="2"/>
      <c r="E3" s="2"/>
      <c r="F3" s="2"/>
      <c r="G3" s="2"/>
      <c r="H3" s="2"/>
      <c r="I3" s="2"/>
    </row>
    <row r="5" spans="1:33" ht="32" customHeight="1">
      <c r="A5" t="s">
        <v>128</v>
      </c>
      <c r="B5" t="s">
        <v>127</v>
      </c>
      <c r="C5" t="s">
        <v>129</v>
      </c>
      <c r="D5" t="s">
        <v>246</v>
      </c>
      <c r="E5" t="s">
        <v>247</v>
      </c>
      <c r="F5" t="s">
        <v>248</v>
      </c>
      <c r="G5" t="s">
        <v>249</v>
      </c>
      <c r="H5" t="s">
        <v>250</v>
      </c>
      <c r="I5" t="s">
        <v>251</v>
      </c>
      <c r="J5" t="s">
        <v>252</v>
      </c>
      <c r="K5" t="s">
        <v>253</v>
      </c>
      <c r="L5" t="s">
        <v>254</v>
      </c>
      <c r="M5" t="s">
        <v>255</v>
      </c>
      <c r="N5" t="s">
        <v>256</v>
      </c>
      <c r="O5" t="s">
        <v>257</v>
      </c>
      <c r="P5" t="s">
        <v>258</v>
      </c>
      <c r="Q5" t="s">
        <v>259</v>
      </c>
      <c r="R5" t="s">
        <v>260</v>
      </c>
      <c r="S5" t="s">
        <v>261</v>
      </c>
      <c r="T5" t="s">
        <v>262</v>
      </c>
      <c r="U5" t="s">
        <v>263</v>
      </c>
      <c r="V5" t="s">
        <v>264</v>
      </c>
      <c r="W5" t="s">
        <v>265</v>
      </c>
      <c r="X5" t="s">
        <v>266</v>
      </c>
      <c r="Y5" t="s">
        <v>267</v>
      </c>
      <c r="Z5" t="s">
        <v>268</v>
      </c>
      <c r="AA5" t="s">
        <v>269</v>
      </c>
      <c r="AB5" t="s">
        <v>270</v>
      </c>
      <c r="AC5" t="s">
        <v>271</v>
      </c>
      <c r="AD5" t="s">
        <v>272</v>
      </c>
      <c r="AE5" t="s">
        <v>273</v>
      </c>
      <c r="AF5" t="s">
        <v>274</v>
      </c>
      <c r="AG5" t="s">
        <v>275</v>
      </c>
    </row>
    <row r="6" spans="1:33" ht="64" customHeight="1">
      <c r="A6" s="4" t="s">
        <v>140</v>
      </c>
      <c r="B6" s="8">
        <v>0</v>
      </c>
      <c r="C6" s="4" t="s">
        <v>141</v>
      </c>
      <c r="D6" s="4" t="s">
        <v>276</v>
      </c>
      <c r="E6" s="4" t="s">
        <v>277</v>
      </c>
      <c r="F6" s="4" t="s">
        <v>278</v>
      </c>
      <c r="G6" s="4" t="s">
        <v>279</v>
      </c>
      <c r="H6" s="8">
        <v>16</v>
      </c>
      <c r="I6" s="4" t="s">
        <v>280</v>
      </c>
      <c r="J6" s="8">
        <v>2</v>
      </c>
      <c r="K6" s="8">
        <v>2</v>
      </c>
      <c r="L6" s="8">
        <v>3</v>
      </c>
      <c r="M6" s="8">
        <v>4</v>
      </c>
      <c r="N6" s="8">
        <v>3</v>
      </c>
      <c r="O6" s="8">
        <v>2</v>
      </c>
      <c r="P6" s="8">
        <v>192</v>
      </c>
      <c r="Q6" s="8">
        <v>256</v>
      </c>
      <c r="R6" s="8">
        <v>384</v>
      </c>
      <c r="S6" s="8">
        <v>512</v>
      </c>
      <c r="T6" s="8">
        <v>384</v>
      </c>
      <c r="U6" s="8">
        <v>256</v>
      </c>
      <c r="V6" s="8">
        <v>512</v>
      </c>
      <c r="W6" s="8">
        <v>768</v>
      </c>
      <c r="X6" s="8">
        <v>1024</v>
      </c>
      <c r="Y6" s="8">
        <v>1536</v>
      </c>
      <c r="Z6" s="8">
        <v>1024</v>
      </c>
      <c r="AA6" s="8">
        <v>768</v>
      </c>
      <c r="AB6" s="8">
        <v>192</v>
      </c>
      <c r="AC6" s="8">
        <v>192</v>
      </c>
      <c r="AD6" s="8">
        <v>256</v>
      </c>
      <c r="AE6" s="8">
        <v>256</v>
      </c>
      <c r="AF6" s="8">
        <v>256</v>
      </c>
      <c r="AG6" s="8">
        <v>192</v>
      </c>
    </row>
    <row r="7" spans="1:33" ht="64" customHeight="1">
      <c r="A7" s="4" t="s">
        <v>147</v>
      </c>
      <c r="B7" s="8">
        <v>1</v>
      </c>
      <c r="C7" s="4" t="s">
        <v>141</v>
      </c>
      <c r="D7" s="4" t="s">
        <v>276</v>
      </c>
      <c r="E7" s="4" t="s">
        <v>277</v>
      </c>
      <c r="F7" s="4" t="s">
        <v>281</v>
      </c>
      <c r="G7" s="4" t="s">
        <v>279</v>
      </c>
      <c r="H7" s="8">
        <v>16</v>
      </c>
      <c r="I7" s="4" t="s">
        <v>282</v>
      </c>
      <c r="J7" s="8">
        <v>2</v>
      </c>
      <c r="K7" s="8">
        <v>2</v>
      </c>
      <c r="L7" s="8">
        <v>3</v>
      </c>
      <c r="M7" s="8">
        <v>4</v>
      </c>
      <c r="N7" s="8">
        <v>3</v>
      </c>
      <c r="O7" s="8">
        <v>2</v>
      </c>
      <c r="P7" s="8">
        <v>192</v>
      </c>
      <c r="Q7" s="8">
        <v>256</v>
      </c>
      <c r="R7" s="8">
        <v>384</v>
      </c>
      <c r="S7" s="8">
        <v>512</v>
      </c>
      <c r="T7" s="8">
        <v>384</v>
      </c>
      <c r="U7" s="8">
        <v>256</v>
      </c>
      <c r="V7" s="8">
        <v>512</v>
      </c>
      <c r="W7" s="8">
        <v>768</v>
      </c>
      <c r="X7" s="8">
        <v>1248</v>
      </c>
      <c r="Y7" s="8">
        <v>1280</v>
      </c>
      <c r="Z7" s="8">
        <v>1248</v>
      </c>
      <c r="AA7" s="8">
        <v>768</v>
      </c>
      <c r="AB7" s="8">
        <v>192</v>
      </c>
      <c r="AC7" s="8">
        <v>192</v>
      </c>
      <c r="AD7" s="8">
        <v>256</v>
      </c>
      <c r="AE7" s="8">
        <v>256</v>
      </c>
      <c r="AF7" s="8">
        <v>256</v>
      </c>
      <c r="AG7" s="8">
        <v>192</v>
      </c>
    </row>
    <row r="8" spans="1:33" ht="64" customHeight="1">
      <c r="A8" s="4" t="s">
        <v>152</v>
      </c>
      <c r="B8" s="8">
        <v>1</v>
      </c>
      <c r="C8" s="4" t="s">
        <v>141</v>
      </c>
      <c r="D8" s="4" t="s">
        <v>283</v>
      </c>
      <c r="E8" s="4" t="s">
        <v>277</v>
      </c>
      <c r="F8" s="4" t="s">
        <v>284</v>
      </c>
      <c r="G8" s="4" t="s">
        <v>285</v>
      </c>
      <c r="H8" s="8">
        <v>16</v>
      </c>
      <c r="I8" s="4" t="s">
        <v>286</v>
      </c>
      <c r="J8" s="8">
        <v>2</v>
      </c>
      <c r="K8" s="8">
        <v>2</v>
      </c>
      <c r="L8" s="8">
        <v>4</v>
      </c>
      <c r="M8" s="8">
        <v>4</v>
      </c>
      <c r="N8" s="8">
        <v>3</v>
      </c>
      <c r="O8" s="8">
        <v>1</v>
      </c>
      <c r="P8" s="8">
        <v>192</v>
      </c>
      <c r="Q8" s="8">
        <v>256</v>
      </c>
      <c r="R8" s="8">
        <v>384</v>
      </c>
      <c r="S8" s="8">
        <v>512</v>
      </c>
      <c r="T8" s="8">
        <v>384</v>
      </c>
      <c r="U8" s="8">
        <v>256</v>
      </c>
      <c r="V8" s="8">
        <v>512</v>
      </c>
      <c r="W8" s="8">
        <v>768</v>
      </c>
      <c r="X8" s="8">
        <v>1152</v>
      </c>
      <c r="Y8" s="8">
        <v>1408</v>
      </c>
      <c r="Z8" s="8">
        <v>1152</v>
      </c>
      <c r="AA8" s="8">
        <v>768</v>
      </c>
      <c r="AB8" s="8">
        <v>192</v>
      </c>
      <c r="AC8" s="8">
        <v>192</v>
      </c>
      <c r="AD8" s="8">
        <v>256</v>
      </c>
      <c r="AE8" s="8">
        <v>320</v>
      </c>
      <c r="AF8" s="8">
        <v>256</v>
      </c>
      <c r="AG8" s="8">
        <v>192</v>
      </c>
    </row>
    <row r="9" spans="1:33" ht="64" customHeight="1">
      <c r="A9" s="4" t="s">
        <v>156</v>
      </c>
      <c r="B9" s="8">
        <v>1</v>
      </c>
      <c r="C9" s="4" t="s">
        <v>141</v>
      </c>
      <c r="D9" s="4" t="s">
        <v>287</v>
      </c>
      <c r="E9" s="4" t="s">
        <v>288</v>
      </c>
      <c r="F9" s="4" t="s">
        <v>284</v>
      </c>
      <c r="G9" s="4" t="s">
        <v>289</v>
      </c>
      <c r="H9" s="8">
        <v>16</v>
      </c>
      <c r="I9" s="4" t="s">
        <v>290</v>
      </c>
      <c r="J9" s="8">
        <v>2</v>
      </c>
      <c r="K9" s="8">
        <v>3</v>
      </c>
      <c r="L9" s="8">
        <v>3</v>
      </c>
      <c r="M9" s="8">
        <v>4</v>
      </c>
      <c r="N9" s="8">
        <v>3</v>
      </c>
      <c r="O9" s="8">
        <v>1</v>
      </c>
      <c r="P9" s="8">
        <v>192</v>
      </c>
      <c r="Q9" s="8">
        <v>256</v>
      </c>
      <c r="R9" s="8">
        <v>384</v>
      </c>
      <c r="S9" s="8">
        <v>448</v>
      </c>
      <c r="T9" s="8">
        <v>384</v>
      </c>
      <c r="U9" s="8">
        <v>256</v>
      </c>
      <c r="V9" s="8">
        <v>512</v>
      </c>
      <c r="W9" s="8">
        <v>768</v>
      </c>
      <c r="X9" s="8">
        <v>1152</v>
      </c>
      <c r="Y9" s="8">
        <v>1408</v>
      </c>
      <c r="Z9" s="8">
        <v>1152</v>
      </c>
      <c r="AA9" s="8">
        <v>768</v>
      </c>
      <c r="AB9" s="8">
        <v>192</v>
      </c>
      <c r="AC9" s="8">
        <v>192</v>
      </c>
      <c r="AD9" s="8">
        <v>256</v>
      </c>
      <c r="AE9" s="8">
        <v>288</v>
      </c>
      <c r="AF9" s="8">
        <v>256</v>
      </c>
      <c r="AG9" s="8">
        <v>192</v>
      </c>
    </row>
    <row r="10" spans="1:33" ht="64" customHeight="1">
      <c r="A10" s="4" t="s">
        <v>160</v>
      </c>
      <c r="B10" s="8">
        <v>1</v>
      </c>
      <c r="C10" s="4" t="s">
        <v>141</v>
      </c>
      <c r="D10" s="4" t="s">
        <v>291</v>
      </c>
      <c r="E10" s="4" t="s">
        <v>292</v>
      </c>
      <c r="F10" s="4" t="s">
        <v>293</v>
      </c>
      <c r="G10" s="4" t="s">
        <v>294</v>
      </c>
      <c r="H10" s="8">
        <v>16</v>
      </c>
      <c r="I10" s="4" t="s">
        <v>295</v>
      </c>
      <c r="J10" s="8">
        <v>2</v>
      </c>
      <c r="K10" s="8">
        <v>3</v>
      </c>
      <c r="L10" s="8">
        <v>3</v>
      </c>
      <c r="M10" s="8">
        <v>3</v>
      </c>
      <c r="N10" s="8">
        <v>3</v>
      </c>
      <c r="O10" s="8">
        <v>2</v>
      </c>
      <c r="P10" s="8">
        <v>192</v>
      </c>
      <c r="Q10" s="8">
        <v>288</v>
      </c>
      <c r="R10" s="8">
        <v>384</v>
      </c>
      <c r="S10" s="8">
        <v>448</v>
      </c>
      <c r="T10" s="8">
        <v>384</v>
      </c>
      <c r="U10" s="8">
        <v>256</v>
      </c>
      <c r="V10" s="8">
        <v>512</v>
      </c>
      <c r="W10" s="8">
        <v>896</v>
      </c>
      <c r="X10" s="8">
        <v>1152</v>
      </c>
      <c r="Y10" s="8">
        <v>1408</v>
      </c>
      <c r="Z10" s="8">
        <v>1152</v>
      </c>
      <c r="AA10" s="8">
        <v>768</v>
      </c>
      <c r="AB10" s="8">
        <v>192</v>
      </c>
      <c r="AC10" s="8">
        <v>224</v>
      </c>
      <c r="AD10" s="8">
        <v>256</v>
      </c>
      <c r="AE10" s="8">
        <v>288</v>
      </c>
      <c r="AF10" s="8">
        <v>256</v>
      </c>
      <c r="AG10" s="8">
        <v>192</v>
      </c>
    </row>
    <row r="11" spans="1:33" ht="64" customHeight="1">
      <c r="A11" s="4" t="s">
        <v>164</v>
      </c>
      <c r="B11" s="8">
        <v>2</v>
      </c>
      <c r="C11" s="4" t="s">
        <v>141</v>
      </c>
      <c r="D11" s="4" t="s">
        <v>296</v>
      </c>
      <c r="E11" s="4" t="s">
        <v>297</v>
      </c>
      <c r="F11" s="4" t="s">
        <v>298</v>
      </c>
      <c r="G11" s="4" t="s">
        <v>289</v>
      </c>
      <c r="H11" s="8">
        <v>16</v>
      </c>
      <c r="I11" s="4" t="s">
        <v>299</v>
      </c>
      <c r="J11" s="8">
        <v>3</v>
      </c>
      <c r="K11" s="8">
        <v>2</v>
      </c>
      <c r="L11" s="8">
        <v>3</v>
      </c>
      <c r="M11" s="8">
        <v>3</v>
      </c>
      <c r="N11" s="8">
        <v>3</v>
      </c>
      <c r="O11" s="8">
        <v>2</v>
      </c>
      <c r="P11" s="8">
        <v>192</v>
      </c>
      <c r="Q11" s="8">
        <v>256</v>
      </c>
      <c r="R11" s="8">
        <v>384</v>
      </c>
      <c r="S11" s="8">
        <v>480</v>
      </c>
      <c r="T11" s="8">
        <v>384</v>
      </c>
      <c r="U11" s="8">
        <v>256</v>
      </c>
      <c r="V11" s="8">
        <v>512</v>
      </c>
      <c r="W11" s="8">
        <v>768</v>
      </c>
      <c r="X11" s="8">
        <v>1152</v>
      </c>
      <c r="Y11" s="8">
        <v>1440</v>
      </c>
      <c r="Z11" s="8">
        <v>1152</v>
      </c>
      <c r="AA11" s="8">
        <v>768</v>
      </c>
      <c r="AB11" s="8">
        <v>192</v>
      </c>
      <c r="AC11" s="8">
        <v>192</v>
      </c>
      <c r="AD11" s="8">
        <v>256</v>
      </c>
      <c r="AE11" s="8">
        <v>288</v>
      </c>
      <c r="AF11" s="8">
        <v>256</v>
      </c>
      <c r="AG11" s="8">
        <v>192</v>
      </c>
    </row>
    <row r="12" spans="1:33" ht="64" customHeight="1">
      <c r="A12" s="4" t="s">
        <v>168</v>
      </c>
      <c r="B12" s="8">
        <v>2</v>
      </c>
      <c r="C12" s="4" t="s">
        <v>141</v>
      </c>
      <c r="D12" s="4" t="s">
        <v>300</v>
      </c>
      <c r="E12" s="4" t="s">
        <v>277</v>
      </c>
      <c r="F12" s="4" t="s">
        <v>284</v>
      </c>
      <c r="G12" s="4" t="s">
        <v>301</v>
      </c>
      <c r="H12" s="8">
        <v>16</v>
      </c>
      <c r="I12" s="4" t="s">
        <v>302</v>
      </c>
      <c r="J12" s="8">
        <v>2</v>
      </c>
      <c r="K12" s="8">
        <v>2</v>
      </c>
      <c r="L12" s="8">
        <v>3</v>
      </c>
      <c r="M12" s="8">
        <v>4</v>
      </c>
      <c r="N12" s="8">
        <v>4</v>
      </c>
      <c r="O12" s="8">
        <v>1</v>
      </c>
      <c r="P12" s="8">
        <v>192</v>
      </c>
      <c r="Q12" s="8">
        <v>256</v>
      </c>
      <c r="R12" s="8">
        <v>384</v>
      </c>
      <c r="S12" s="8">
        <v>512</v>
      </c>
      <c r="T12" s="8">
        <v>384</v>
      </c>
      <c r="U12" s="8">
        <v>256</v>
      </c>
      <c r="V12" s="8">
        <v>512</v>
      </c>
      <c r="W12" s="8">
        <v>768</v>
      </c>
      <c r="X12" s="8">
        <v>1152</v>
      </c>
      <c r="Y12" s="8">
        <v>1408</v>
      </c>
      <c r="Z12" s="8">
        <v>1152</v>
      </c>
      <c r="AA12" s="8">
        <v>768</v>
      </c>
      <c r="AB12" s="8">
        <v>192</v>
      </c>
      <c r="AC12" s="8">
        <v>192</v>
      </c>
      <c r="AD12" s="8">
        <v>256</v>
      </c>
      <c r="AE12" s="8">
        <v>256</v>
      </c>
      <c r="AF12" s="8">
        <v>288</v>
      </c>
      <c r="AG12" s="8">
        <v>192</v>
      </c>
    </row>
    <row r="13" spans="1:33" ht="64" customHeight="1">
      <c r="A13" s="4" t="s">
        <v>172</v>
      </c>
      <c r="B13" s="8">
        <v>2</v>
      </c>
      <c r="C13" s="4" t="s">
        <v>141</v>
      </c>
      <c r="D13" s="4" t="s">
        <v>303</v>
      </c>
      <c r="E13" s="4" t="s">
        <v>297</v>
      </c>
      <c r="F13" s="4" t="s">
        <v>304</v>
      </c>
      <c r="G13" s="4" t="s">
        <v>294</v>
      </c>
      <c r="H13" s="8">
        <v>16</v>
      </c>
      <c r="I13" s="4" t="s">
        <v>305</v>
      </c>
      <c r="J13" s="8">
        <v>2</v>
      </c>
      <c r="K13" s="8">
        <v>3</v>
      </c>
      <c r="L13" s="8">
        <v>4</v>
      </c>
      <c r="M13" s="8">
        <v>3</v>
      </c>
      <c r="N13" s="8">
        <v>3</v>
      </c>
      <c r="O13" s="8">
        <v>1</v>
      </c>
      <c r="P13" s="8">
        <v>192</v>
      </c>
      <c r="Q13" s="8">
        <v>256</v>
      </c>
      <c r="R13" s="8">
        <v>384</v>
      </c>
      <c r="S13" s="8">
        <v>480</v>
      </c>
      <c r="T13" s="8">
        <v>384</v>
      </c>
      <c r="U13" s="8">
        <v>256</v>
      </c>
      <c r="V13" s="8">
        <v>512</v>
      </c>
      <c r="W13" s="8">
        <v>896</v>
      </c>
      <c r="X13" s="8">
        <v>1152</v>
      </c>
      <c r="Y13" s="8">
        <v>1440</v>
      </c>
      <c r="Z13" s="8">
        <v>1152</v>
      </c>
      <c r="AA13" s="8">
        <v>768</v>
      </c>
      <c r="AB13" s="8">
        <v>192</v>
      </c>
      <c r="AC13" s="8">
        <v>224</v>
      </c>
      <c r="AD13" s="8">
        <v>256</v>
      </c>
      <c r="AE13" s="8">
        <v>288</v>
      </c>
      <c r="AF13" s="8">
        <v>256</v>
      </c>
      <c r="AG13" s="8">
        <v>192</v>
      </c>
    </row>
    <row r="14" spans="1:33" ht="64" customHeight="1">
      <c r="A14" s="4" t="s">
        <v>176</v>
      </c>
      <c r="B14" s="8">
        <v>2</v>
      </c>
      <c r="C14" s="4" t="s">
        <v>141</v>
      </c>
      <c r="D14" s="4" t="s">
        <v>306</v>
      </c>
      <c r="E14" s="4" t="s">
        <v>297</v>
      </c>
      <c r="F14" s="4" t="s">
        <v>307</v>
      </c>
      <c r="G14" s="4" t="s">
        <v>308</v>
      </c>
      <c r="H14" s="8">
        <v>16</v>
      </c>
      <c r="I14" s="4" t="s">
        <v>309</v>
      </c>
      <c r="J14" s="8">
        <v>3</v>
      </c>
      <c r="K14" s="8">
        <v>3</v>
      </c>
      <c r="L14" s="8">
        <v>3</v>
      </c>
      <c r="M14" s="8">
        <v>3</v>
      </c>
      <c r="N14" s="8">
        <v>3</v>
      </c>
      <c r="O14" s="8">
        <v>1</v>
      </c>
      <c r="P14" s="8">
        <v>192</v>
      </c>
      <c r="Q14" s="8">
        <v>256</v>
      </c>
      <c r="R14" s="8">
        <v>384</v>
      </c>
      <c r="S14" s="8">
        <v>480</v>
      </c>
      <c r="T14" s="8">
        <v>384</v>
      </c>
      <c r="U14" s="8">
        <v>256</v>
      </c>
      <c r="V14" s="8">
        <v>512</v>
      </c>
      <c r="W14" s="8">
        <v>896</v>
      </c>
      <c r="X14" s="8">
        <v>1120</v>
      </c>
      <c r="Y14" s="8">
        <v>1440</v>
      </c>
      <c r="Z14" s="8">
        <v>1120</v>
      </c>
      <c r="AA14" s="8">
        <v>768</v>
      </c>
      <c r="AB14" s="8">
        <v>192</v>
      </c>
      <c r="AC14" s="8">
        <v>224</v>
      </c>
      <c r="AD14" s="8">
        <v>256</v>
      </c>
      <c r="AE14" s="8">
        <v>288</v>
      </c>
      <c r="AF14" s="8">
        <v>288</v>
      </c>
      <c r="AG14" s="8">
        <v>192</v>
      </c>
    </row>
    <row r="15" spans="1:33" ht="64" customHeight="1">
      <c r="A15" s="4" t="s">
        <v>180</v>
      </c>
      <c r="B15" s="8">
        <v>3</v>
      </c>
      <c r="C15" s="4" t="s">
        <v>141</v>
      </c>
      <c r="D15" s="4" t="s">
        <v>310</v>
      </c>
      <c r="E15" s="4" t="s">
        <v>311</v>
      </c>
      <c r="F15" s="4" t="s">
        <v>312</v>
      </c>
      <c r="G15" s="4" t="s">
        <v>313</v>
      </c>
      <c r="H15" s="8">
        <v>16</v>
      </c>
      <c r="I15" s="4" t="s">
        <v>314</v>
      </c>
      <c r="J15" s="8">
        <v>2</v>
      </c>
      <c r="K15" s="8">
        <v>3</v>
      </c>
      <c r="L15" s="8">
        <v>3</v>
      </c>
      <c r="M15" s="8">
        <v>3</v>
      </c>
      <c r="N15" s="8">
        <v>4</v>
      </c>
      <c r="O15" s="8">
        <v>1</v>
      </c>
      <c r="P15" s="8">
        <v>192</v>
      </c>
      <c r="Q15" s="8">
        <v>256</v>
      </c>
      <c r="R15" s="8">
        <v>384</v>
      </c>
      <c r="S15" s="8">
        <v>480</v>
      </c>
      <c r="T15" s="8">
        <v>416</v>
      </c>
      <c r="U15" s="8">
        <v>256</v>
      </c>
      <c r="V15" s="8">
        <v>512</v>
      </c>
      <c r="W15" s="8">
        <v>896</v>
      </c>
      <c r="X15" s="8">
        <v>1120</v>
      </c>
      <c r="Y15" s="8">
        <v>1408</v>
      </c>
      <c r="Z15" s="8">
        <v>1152</v>
      </c>
      <c r="AA15" s="8">
        <v>768</v>
      </c>
      <c r="AB15" s="8">
        <v>192</v>
      </c>
      <c r="AC15" s="8">
        <v>192</v>
      </c>
      <c r="AD15" s="8">
        <v>256</v>
      </c>
      <c r="AE15" s="8">
        <v>288</v>
      </c>
      <c r="AF15" s="8">
        <v>288</v>
      </c>
      <c r="AG15" s="8">
        <v>192</v>
      </c>
    </row>
    <row r="16" spans="1:33" ht="64" customHeight="1">
      <c r="A16" s="4" t="s">
        <v>184</v>
      </c>
      <c r="B16" s="8">
        <v>3</v>
      </c>
      <c r="C16" s="4" t="s">
        <v>141</v>
      </c>
      <c r="D16" s="4" t="s">
        <v>315</v>
      </c>
      <c r="E16" s="4" t="s">
        <v>292</v>
      </c>
      <c r="F16" s="4" t="s">
        <v>293</v>
      </c>
      <c r="G16" s="4" t="s">
        <v>316</v>
      </c>
      <c r="H16" s="8">
        <v>16</v>
      </c>
      <c r="I16" s="4" t="s">
        <v>317</v>
      </c>
      <c r="J16" s="8">
        <v>2</v>
      </c>
      <c r="K16" s="8">
        <v>4</v>
      </c>
      <c r="L16" s="8">
        <v>3</v>
      </c>
      <c r="M16" s="8">
        <v>3</v>
      </c>
      <c r="N16" s="8">
        <v>3</v>
      </c>
      <c r="O16" s="8">
        <v>1</v>
      </c>
      <c r="P16" s="8">
        <v>192</v>
      </c>
      <c r="Q16" s="8">
        <v>288</v>
      </c>
      <c r="R16" s="8">
        <v>384</v>
      </c>
      <c r="S16" s="8">
        <v>448</v>
      </c>
      <c r="T16" s="8">
        <v>384</v>
      </c>
      <c r="U16" s="8">
        <v>256</v>
      </c>
      <c r="V16" s="8">
        <v>512</v>
      </c>
      <c r="W16" s="8">
        <v>896</v>
      </c>
      <c r="X16" s="8">
        <v>1152</v>
      </c>
      <c r="Y16" s="8">
        <v>1408</v>
      </c>
      <c r="Z16" s="8">
        <v>1152</v>
      </c>
      <c r="AA16" s="8">
        <v>768</v>
      </c>
      <c r="AB16" s="8">
        <v>192</v>
      </c>
      <c r="AC16" s="8">
        <v>224</v>
      </c>
      <c r="AD16" s="8">
        <v>256</v>
      </c>
      <c r="AE16" s="8">
        <v>256</v>
      </c>
      <c r="AF16" s="8">
        <v>256</v>
      </c>
      <c r="AG16" s="8">
        <v>192</v>
      </c>
    </row>
    <row r="17" spans="1:33" ht="64" customHeight="1">
      <c r="A17" s="4" t="s">
        <v>188</v>
      </c>
      <c r="B17" s="8">
        <v>3</v>
      </c>
      <c r="C17" s="4" t="s">
        <v>141</v>
      </c>
      <c r="D17" s="4" t="s">
        <v>318</v>
      </c>
      <c r="E17" s="4" t="s">
        <v>311</v>
      </c>
      <c r="F17" s="4" t="s">
        <v>319</v>
      </c>
      <c r="G17" s="4" t="s">
        <v>320</v>
      </c>
      <c r="H17" s="8">
        <v>16</v>
      </c>
      <c r="I17" s="4" t="s">
        <v>321</v>
      </c>
      <c r="J17" s="8">
        <v>2</v>
      </c>
      <c r="K17" s="8">
        <v>3</v>
      </c>
      <c r="L17" s="8">
        <v>4</v>
      </c>
      <c r="M17" s="8">
        <v>3</v>
      </c>
      <c r="N17" s="8">
        <v>2</v>
      </c>
      <c r="O17" s="8">
        <v>2</v>
      </c>
      <c r="P17" s="8">
        <v>192</v>
      </c>
      <c r="Q17" s="8">
        <v>256</v>
      </c>
      <c r="R17" s="8">
        <v>384</v>
      </c>
      <c r="S17" s="8">
        <v>480</v>
      </c>
      <c r="T17" s="8">
        <v>416</v>
      </c>
      <c r="U17" s="8">
        <v>256</v>
      </c>
      <c r="V17" s="8">
        <v>512</v>
      </c>
      <c r="W17" s="8">
        <v>896</v>
      </c>
      <c r="X17" s="8">
        <v>1248</v>
      </c>
      <c r="Y17" s="8">
        <v>1408</v>
      </c>
      <c r="Z17" s="8">
        <v>1120</v>
      </c>
      <c r="AA17" s="8">
        <v>768</v>
      </c>
      <c r="AB17" s="8">
        <v>192</v>
      </c>
      <c r="AC17" s="8">
        <v>192</v>
      </c>
      <c r="AD17" s="8">
        <v>288</v>
      </c>
      <c r="AE17" s="8">
        <v>288</v>
      </c>
      <c r="AF17" s="8">
        <v>288</v>
      </c>
      <c r="AG17" s="8">
        <v>192</v>
      </c>
    </row>
    <row r="18" spans="1:33" ht="64" customHeight="1">
      <c r="A18" s="4" t="s">
        <v>192</v>
      </c>
      <c r="B18" s="8">
        <v>3</v>
      </c>
      <c r="C18" s="4" t="s">
        <v>141</v>
      </c>
      <c r="D18" s="4" t="s">
        <v>322</v>
      </c>
      <c r="E18" s="4" t="s">
        <v>311</v>
      </c>
      <c r="F18" s="4" t="s">
        <v>323</v>
      </c>
      <c r="G18" s="4" t="s">
        <v>320</v>
      </c>
      <c r="H18" s="8">
        <v>16</v>
      </c>
      <c r="I18" s="4" t="s">
        <v>324</v>
      </c>
      <c r="J18" s="8">
        <v>2</v>
      </c>
      <c r="K18" s="8">
        <v>2</v>
      </c>
      <c r="L18" s="8">
        <v>4</v>
      </c>
      <c r="M18" s="8">
        <v>3</v>
      </c>
      <c r="N18" s="8">
        <v>3</v>
      </c>
      <c r="O18" s="8">
        <v>2</v>
      </c>
      <c r="P18" s="8">
        <v>192</v>
      </c>
      <c r="Q18" s="8">
        <v>256</v>
      </c>
      <c r="R18" s="8">
        <v>384</v>
      </c>
      <c r="S18" s="8">
        <v>480</v>
      </c>
      <c r="T18" s="8">
        <v>416</v>
      </c>
      <c r="U18" s="8">
        <v>256</v>
      </c>
      <c r="V18" s="8">
        <v>512</v>
      </c>
      <c r="W18" s="8">
        <v>896</v>
      </c>
      <c r="X18" s="8">
        <v>1184</v>
      </c>
      <c r="Y18" s="8">
        <v>1408</v>
      </c>
      <c r="Z18" s="8">
        <v>1120</v>
      </c>
      <c r="AA18" s="8">
        <v>768</v>
      </c>
      <c r="AB18" s="8">
        <v>192</v>
      </c>
      <c r="AC18" s="8">
        <v>192</v>
      </c>
      <c r="AD18" s="8">
        <v>288</v>
      </c>
      <c r="AE18" s="8">
        <v>288</v>
      </c>
      <c r="AF18" s="8">
        <v>288</v>
      </c>
      <c r="AG18" s="8">
        <v>192</v>
      </c>
    </row>
    <row r="19" spans="1:33" ht="64" customHeight="1">
      <c r="A19" s="4" t="s">
        <v>196</v>
      </c>
      <c r="B19" s="8">
        <v>4</v>
      </c>
      <c r="C19" s="4" t="s">
        <v>141</v>
      </c>
      <c r="D19" s="4" t="s">
        <v>276</v>
      </c>
      <c r="E19" s="4" t="s">
        <v>277</v>
      </c>
      <c r="F19" s="4" t="s">
        <v>325</v>
      </c>
      <c r="G19" s="4" t="s">
        <v>289</v>
      </c>
      <c r="H19" s="8">
        <v>16</v>
      </c>
      <c r="I19" s="4" t="s">
        <v>326</v>
      </c>
      <c r="J19" s="8">
        <v>2</v>
      </c>
      <c r="K19" s="8">
        <v>2</v>
      </c>
      <c r="L19" s="8">
        <v>3</v>
      </c>
      <c r="M19" s="8">
        <v>4</v>
      </c>
      <c r="N19" s="8">
        <v>3</v>
      </c>
      <c r="O19" s="8">
        <v>2</v>
      </c>
      <c r="P19" s="8">
        <v>192</v>
      </c>
      <c r="Q19" s="8">
        <v>256</v>
      </c>
      <c r="R19" s="8">
        <v>384</v>
      </c>
      <c r="S19" s="8">
        <v>512</v>
      </c>
      <c r="T19" s="8">
        <v>384</v>
      </c>
      <c r="U19" s="8">
        <v>256</v>
      </c>
      <c r="V19" s="8">
        <v>640</v>
      </c>
      <c r="W19" s="8">
        <v>896</v>
      </c>
      <c r="X19" s="8">
        <v>1024</v>
      </c>
      <c r="Y19" s="8">
        <v>1408</v>
      </c>
      <c r="Z19" s="8">
        <v>1024</v>
      </c>
      <c r="AA19" s="8">
        <v>768</v>
      </c>
      <c r="AB19" s="8">
        <v>192</v>
      </c>
      <c r="AC19" s="8">
        <v>192</v>
      </c>
      <c r="AD19" s="8">
        <v>256</v>
      </c>
      <c r="AE19" s="8">
        <v>288</v>
      </c>
      <c r="AF19" s="8">
        <v>256</v>
      </c>
      <c r="AG19" s="8">
        <v>192</v>
      </c>
    </row>
    <row r="20" spans="1:33" ht="64" customHeight="1">
      <c r="A20" s="4" t="s">
        <v>11</v>
      </c>
      <c r="B20" s="8">
        <v>4</v>
      </c>
      <c r="C20" s="4" t="s">
        <v>141</v>
      </c>
      <c r="D20" s="4" t="s">
        <v>327</v>
      </c>
      <c r="E20" s="4" t="s">
        <v>277</v>
      </c>
      <c r="F20" s="4" t="s">
        <v>328</v>
      </c>
      <c r="G20" s="4" t="s">
        <v>329</v>
      </c>
      <c r="H20" s="8">
        <v>16</v>
      </c>
      <c r="I20" s="4" t="s">
        <v>330</v>
      </c>
      <c r="J20" s="8">
        <v>2</v>
      </c>
      <c r="K20" s="8">
        <v>2</v>
      </c>
      <c r="L20" s="8">
        <v>3</v>
      </c>
      <c r="M20" s="8">
        <v>3</v>
      </c>
      <c r="N20" s="8">
        <v>3</v>
      </c>
      <c r="O20" s="8">
        <v>3</v>
      </c>
      <c r="P20" s="8">
        <v>192</v>
      </c>
      <c r="Q20" s="8">
        <v>256</v>
      </c>
      <c r="R20" s="8">
        <v>384</v>
      </c>
      <c r="S20" s="8">
        <v>512</v>
      </c>
      <c r="T20" s="8">
        <v>384</v>
      </c>
      <c r="U20" s="8">
        <v>256</v>
      </c>
      <c r="V20" s="8">
        <v>640</v>
      </c>
      <c r="W20" s="8">
        <v>768</v>
      </c>
      <c r="X20" s="8">
        <v>1152</v>
      </c>
      <c r="Y20" s="8">
        <v>1408</v>
      </c>
      <c r="Z20" s="8">
        <v>1024</v>
      </c>
      <c r="AA20" s="8">
        <v>896</v>
      </c>
      <c r="AB20" s="8">
        <v>192</v>
      </c>
      <c r="AC20" s="8">
        <v>192</v>
      </c>
      <c r="AD20" s="8">
        <v>256</v>
      </c>
      <c r="AE20" s="8">
        <v>256</v>
      </c>
      <c r="AF20" s="8">
        <v>256</v>
      </c>
      <c r="AG20" s="8">
        <v>224</v>
      </c>
    </row>
    <row r="21" spans="1:33" ht="64" customHeight="1">
      <c r="A21" s="4" t="s">
        <v>204</v>
      </c>
      <c r="B21" s="8">
        <v>4</v>
      </c>
      <c r="C21" s="4" t="s">
        <v>141</v>
      </c>
      <c r="D21" s="4" t="s">
        <v>331</v>
      </c>
      <c r="E21" s="4" t="s">
        <v>277</v>
      </c>
      <c r="F21" s="4" t="s">
        <v>332</v>
      </c>
      <c r="G21" s="4" t="s">
        <v>333</v>
      </c>
      <c r="H21" s="8">
        <v>16</v>
      </c>
      <c r="I21" s="4" t="s">
        <v>334</v>
      </c>
      <c r="J21" s="8">
        <v>2</v>
      </c>
      <c r="K21" s="8">
        <v>2</v>
      </c>
      <c r="L21" s="8">
        <v>3</v>
      </c>
      <c r="M21" s="8">
        <v>5</v>
      </c>
      <c r="N21" s="8">
        <v>3</v>
      </c>
      <c r="O21" s="8">
        <v>1</v>
      </c>
      <c r="P21" s="8">
        <v>192</v>
      </c>
      <c r="Q21" s="8">
        <v>256</v>
      </c>
      <c r="R21" s="8">
        <v>384</v>
      </c>
      <c r="S21" s="8">
        <v>512</v>
      </c>
      <c r="T21" s="8">
        <v>384</v>
      </c>
      <c r="U21" s="8">
        <v>256</v>
      </c>
      <c r="V21" s="8">
        <v>512</v>
      </c>
      <c r="W21" s="8">
        <v>768</v>
      </c>
      <c r="X21" s="8">
        <v>1152</v>
      </c>
      <c r="Y21" s="8">
        <v>1536</v>
      </c>
      <c r="Z21" s="8">
        <v>1152</v>
      </c>
      <c r="AA21" s="8">
        <v>704</v>
      </c>
      <c r="AB21" s="8">
        <v>192</v>
      </c>
      <c r="AC21" s="8">
        <v>192</v>
      </c>
      <c r="AD21" s="8">
        <v>256</v>
      </c>
      <c r="AE21" s="8">
        <v>256</v>
      </c>
      <c r="AF21" s="8">
        <v>288</v>
      </c>
      <c r="AG21" s="8">
        <v>160</v>
      </c>
    </row>
    <row r="22" spans="1:33" ht="64" customHeight="1">
      <c r="A22" s="4" t="s">
        <v>208</v>
      </c>
      <c r="B22" s="8">
        <v>4</v>
      </c>
      <c r="C22" s="4" t="s">
        <v>141</v>
      </c>
      <c r="D22" s="4" t="s">
        <v>322</v>
      </c>
      <c r="E22" s="4" t="s">
        <v>277</v>
      </c>
      <c r="F22" s="4" t="s">
        <v>335</v>
      </c>
      <c r="G22" s="4" t="s">
        <v>336</v>
      </c>
      <c r="H22" s="8">
        <v>16</v>
      </c>
      <c r="I22" s="4" t="s">
        <v>337</v>
      </c>
      <c r="J22" s="8">
        <v>2</v>
      </c>
      <c r="K22" s="8">
        <v>2</v>
      </c>
      <c r="L22" s="8">
        <v>4</v>
      </c>
      <c r="M22" s="8">
        <v>3</v>
      </c>
      <c r="N22" s="8">
        <v>3</v>
      </c>
      <c r="O22" s="8">
        <v>2</v>
      </c>
      <c r="P22" s="8">
        <v>192</v>
      </c>
      <c r="Q22" s="8">
        <v>256</v>
      </c>
      <c r="R22" s="8">
        <v>384</v>
      </c>
      <c r="S22" s="8">
        <v>512</v>
      </c>
      <c r="T22" s="8">
        <v>384</v>
      </c>
      <c r="U22" s="8">
        <v>256</v>
      </c>
      <c r="V22" s="8">
        <v>512</v>
      </c>
      <c r="W22" s="8">
        <v>768</v>
      </c>
      <c r="X22" s="8">
        <v>1248</v>
      </c>
      <c r="Y22" s="8">
        <v>1408</v>
      </c>
      <c r="Z22" s="8">
        <v>1152</v>
      </c>
      <c r="AA22" s="8">
        <v>768</v>
      </c>
      <c r="AB22" s="8">
        <v>192</v>
      </c>
      <c r="AC22" s="8">
        <v>192</v>
      </c>
      <c r="AD22" s="8">
        <v>288</v>
      </c>
      <c r="AE22" s="8">
        <v>256</v>
      </c>
      <c r="AF22" s="8">
        <v>288</v>
      </c>
      <c r="AG22" s="8">
        <v>192</v>
      </c>
    </row>
    <row r="23" spans="1:33" ht="64" customHeight="1">
      <c r="A23" s="4" t="s">
        <v>212</v>
      </c>
      <c r="B23" s="8">
        <v>5</v>
      </c>
      <c r="C23" s="4" t="s">
        <v>141</v>
      </c>
      <c r="D23" s="4" t="s">
        <v>276</v>
      </c>
      <c r="E23" s="4" t="s">
        <v>277</v>
      </c>
      <c r="F23" s="4" t="s">
        <v>338</v>
      </c>
      <c r="G23" s="4" t="s">
        <v>316</v>
      </c>
      <c r="H23" s="8">
        <v>16</v>
      </c>
      <c r="I23" s="4" t="s">
        <v>339</v>
      </c>
      <c r="J23" s="8">
        <v>2</v>
      </c>
      <c r="K23" s="8">
        <v>2</v>
      </c>
      <c r="L23" s="8">
        <v>3</v>
      </c>
      <c r="M23" s="8">
        <v>4</v>
      </c>
      <c r="N23" s="8">
        <v>3</v>
      </c>
      <c r="O23" s="8">
        <v>2</v>
      </c>
      <c r="P23" s="8">
        <v>192</v>
      </c>
      <c r="Q23" s="8">
        <v>256</v>
      </c>
      <c r="R23" s="8">
        <v>384</v>
      </c>
      <c r="S23" s="8">
        <v>512</v>
      </c>
      <c r="T23" s="8">
        <v>384</v>
      </c>
      <c r="U23" s="8">
        <v>256</v>
      </c>
      <c r="V23" s="8">
        <v>512</v>
      </c>
      <c r="W23" s="8">
        <v>896</v>
      </c>
      <c r="X23" s="8">
        <v>1024</v>
      </c>
      <c r="Y23" s="8">
        <v>1408</v>
      </c>
      <c r="Z23" s="8">
        <v>1024</v>
      </c>
      <c r="AA23" s="8">
        <v>768</v>
      </c>
      <c r="AB23" s="8">
        <v>192</v>
      </c>
      <c r="AC23" s="8">
        <v>224</v>
      </c>
      <c r="AD23" s="8">
        <v>256</v>
      </c>
      <c r="AE23" s="8">
        <v>256</v>
      </c>
      <c r="AF23" s="8">
        <v>256</v>
      </c>
      <c r="AG23" s="8">
        <v>192</v>
      </c>
    </row>
    <row r="24" spans="1:33" ht="64" customHeight="1">
      <c r="A24" s="4" t="s">
        <v>216</v>
      </c>
      <c r="B24" s="8">
        <v>5</v>
      </c>
      <c r="C24" s="4" t="s">
        <v>141</v>
      </c>
      <c r="D24" s="4" t="s">
        <v>276</v>
      </c>
      <c r="E24" s="4" t="s">
        <v>340</v>
      </c>
      <c r="F24" s="4" t="s">
        <v>325</v>
      </c>
      <c r="G24" s="4" t="s">
        <v>341</v>
      </c>
      <c r="H24" s="8">
        <v>16</v>
      </c>
      <c r="I24" s="4" t="s">
        <v>342</v>
      </c>
      <c r="J24" s="8">
        <v>2</v>
      </c>
      <c r="K24" s="8">
        <v>2</v>
      </c>
      <c r="L24" s="8">
        <v>3</v>
      </c>
      <c r="M24" s="8">
        <v>4</v>
      </c>
      <c r="N24" s="8">
        <v>3</v>
      </c>
      <c r="O24" s="8">
        <v>2</v>
      </c>
      <c r="P24" s="8">
        <v>192</v>
      </c>
      <c r="Q24" s="8">
        <v>288</v>
      </c>
      <c r="R24" s="8">
        <v>384</v>
      </c>
      <c r="S24" s="8">
        <v>512</v>
      </c>
      <c r="T24" s="8">
        <v>384</v>
      </c>
      <c r="U24" s="8">
        <v>256</v>
      </c>
      <c r="V24" s="8">
        <v>640</v>
      </c>
      <c r="W24" s="8">
        <v>896</v>
      </c>
      <c r="X24" s="8">
        <v>1024</v>
      </c>
      <c r="Y24" s="8">
        <v>1408</v>
      </c>
      <c r="Z24" s="8">
        <v>1024</v>
      </c>
      <c r="AA24" s="8">
        <v>768</v>
      </c>
      <c r="AB24" s="8">
        <v>192</v>
      </c>
      <c r="AC24" s="8">
        <v>256</v>
      </c>
      <c r="AD24" s="8">
        <v>256</v>
      </c>
      <c r="AE24" s="8">
        <v>256</v>
      </c>
      <c r="AF24" s="8">
        <v>256</v>
      </c>
      <c r="AG24" s="8">
        <v>192</v>
      </c>
    </row>
    <row r="25" spans="1:33" ht="64" customHeight="1">
      <c r="A25" s="4" t="s">
        <v>220</v>
      </c>
      <c r="B25" s="8">
        <v>5</v>
      </c>
      <c r="C25" s="4" t="s">
        <v>141</v>
      </c>
      <c r="D25" s="4" t="s">
        <v>287</v>
      </c>
      <c r="E25" s="4" t="s">
        <v>340</v>
      </c>
      <c r="F25" s="4" t="s">
        <v>343</v>
      </c>
      <c r="G25" s="4" t="s">
        <v>294</v>
      </c>
      <c r="H25" s="8">
        <v>16</v>
      </c>
      <c r="I25" s="4" t="s">
        <v>344</v>
      </c>
      <c r="J25" s="8">
        <v>2</v>
      </c>
      <c r="K25" s="8">
        <v>3</v>
      </c>
      <c r="L25" s="8">
        <v>3</v>
      </c>
      <c r="M25" s="8">
        <v>4</v>
      </c>
      <c r="N25" s="8">
        <v>3</v>
      </c>
      <c r="O25" s="8">
        <v>1</v>
      </c>
      <c r="P25" s="8">
        <v>192</v>
      </c>
      <c r="Q25" s="8">
        <v>288</v>
      </c>
      <c r="R25" s="8">
        <v>384</v>
      </c>
      <c r="S25" s="8">
        <v>512</v>
      </c>
      <c r="T25" s="8">
        <v>384</v>
      </c>
      <c r="U25" s="8">
        <v>256</v>
      </c>
      <c r="V25" s="8">
        <v>512</v>
      </c>
      <c r="W25" s="8">
        <v>896</v>
      </c>
      <c r="X25" s="8">
        <v>1152</v>
      </c>
      <c r="Y25" s="8">
        <v>1408</v>
      </c>
      <c r="Z25" s="8">
        <v>1024</v>
      </c>
      <c r="AA25" s="8">
        <v>768</v>
      </c>
      <c r="AB25" s="8">
        <v>192</v>
      </c>
      <c r="AC25" s="8">
        <v>224</v>
      </c>
      <c r="AD25" s="8">
        <v>256</v>
      </c>
      <c r="AE25" s="8">
        <v>288</v>
      </c>
      <c r="AF25" s="8">
        <v>256</v>
      </c>
      <c r="AG25" s="8">
        <v>192</v>
      </c>
    </row>
    <row r="26" spans="1:33" ht="64" customHeight="1">
      <c r="A26" s="4" t="s">
        <v>224</v>
      </c>
      <c r="B26" s="8">
        <v>5</v>
      </c>
      <c r="C26" s="4" t="s">
        <v>141</v>
      </c>
      <c r="D26" s="4" t="s">
        <v>276</v>
      </c>
      <c r="E26" s="4" t="s">
        <v>277</v>
      </c>
      <c r="F26" s="4" t="s">
        <v>345</v>
      </c>
      <c r="G26" s="4" t="s">
        <v>301</v>
      </c>
      <c r="H26" s="8">
        <v>16</v>
      </c>
      <c r="I26" s="4" t="s">
        <v>346</v>
      </c>
      <c r="J26" s="8">
        <v>2</v>
      </c>
      <c r="K26" s="8">
        <v>2</v>
      </c>
      <c r="L26" s="8">
        <v>3</v>
      </c>
      <c r="M26" s="8">
        <v>4</v>
      </c>
      <c r="N26" s="8">
        <v>3</v>
      </c>
      <c r="O26" s="8">
        <v>2</v>
      </c>
      <c r="P26" s="8">
        <v>192</v>
      </c>
      <c r="Q26" s="8">
        <v>256</v>
      </c>
      <c r="R26" s="8">
        <v>384</v>
      </c>
      <c r="S26" s="8">
        <v>512</v>
      </c>
      <c r="T26" s="8">
        <v>384</v>
      </c>
      <c r="U26" s="8">
        <v>256</v>
      </c>
      <c r="V26" s="8">
        <v>512</v>
      </c>
      <c r="W26" s="8">
        <v>768</v>
      </c>
      <c r="X26" s="8">
        <v>1024</v>
      </c>
      <c r="Y26" s="8">
        <v>1408</v>
      </c>
      <c r="Z26" s="8">
        <v>1152</v>
      </c>
      <c r="AA26" s="8">
        <v>832</v>
      </c>
      <c r="AB26" s="8">
        <v>192</v>
      </c>
      <c r="AC26" s="8">
        <v>192</v>
      </c>
      <c r="AD26" s="8">
        <v>256</v>
      </c>
      <c r="AE26" s="8">
        <v>256</v>
      </c>
      <c r="AF26" s="8">
        <v>288</v>
      </c>
      <c r="AG26" s="8">
        <v>192</v>
      </c>
    </row>
    <row r="27" spans="1:33" ht="64" customHeight="1">
      <c r="A27" s="4" t="s">
        <v>228</v>
      </c>
      <c r="B27" s="8">
        <v>6</v>
      </c>
      <c r="C27" s="4" t="s">
        <v>229</v>
      </c>
      <c r="D27" s="4" t="s">
        <v>347</v>
      </c>
      <c r="E27" s="4" t="s">
        <v>277</v>
      </c>
      <c r="F27" s="4" t="s">
        <v>348</v>
      </c>
      <c r="G27" s="4" t="s">
        <v>301</v>
      </c>
      <c r="H27" s="8">
        <v>16</v>
      </c>
      <c r="I27" s="4" t="s">
        <v>349</v>
      </c>
      <c r="J27" s="8">
        <v>2</v>
      </c>
      <c r="K27" s="8">
        <v>2</v>
      </c>
      <c r="L27" s="8">
        <v>3</v>
      </c>
      <c r="M27" s="8">
        <v>3</v>
      </c>
      <c r="N27" s="8">
        <v>4</v>
      </c>
      <c r="O27" s="8">
        <v>2</v>
      </c>
      <c r="P27" s="8">
        <v>192</v>
      </c>
      <c r="Q27" s="8">
        <v>256</v>
      </c>
      <c r="R27" s="8">
        <v>384</v>
      </c>
      <c r="S27" s="8">
        <v>512</v>
      </c>
      <c r="T27" s="8">
        <v>384</v>
      </c>
      <c r="U27" s="8">
        <v>256</v>
      </c>
      <c r="V27" s="8">
        <v>640</v>
      </c>
      <c r="W27" s="8">
        <v>768</v>
      </c>
      <c r="X27" s="8">
        <v>1152</v>
      </c>
      <c r="Y27" s="8">
        <v>1280</v>
      </c>
      <c r="Z27" s="8">
        <v>1152</v>
      </c>
      <c r="AA27" s="8">
        <v>832</v>
      </c>
      <c r="AB27" s="8">
        <v>192</v>
      </c>
      <c r="AC27" s="8">
        <v>192</v>
      </c>
      <c r="AD27" s="8">
        <v>256</v>
      </c>
      <c r="AE27" s="8">
        <v>256</v>
      </c>
      <c r="AF27" s="8">
        <v>288</v>
      </c>
      <c r="AG27" s="8">
        <v>192</v>
      </c>
    </row>
    <row r="28" spans="1:33" ht="64" customHeight="1">
      <c r="A28" s="4" t="s">
        <v>233</v>
      </c>
      <c r="B28" s="8">
        <v>6</v>
      </c>
      <c r="C28" s="4" t="s">
        <v>229</v>
      </c>
      <c r="D28" s="4" t="s">
        <v>276</v>
      </c>
      <c r="E28" s="4" t="s">
        <v>277</v>
      </c>
      <c r="F28" s="4" t="s">
        <v>284</v>
      </c>
      <c r="G28" s="4" t="s">
        <v>289</v>
      </c>
      <c r="H28" s="8">
        <v>16</v>
      </c>
      <c r="I28" s="4" t="s">
        <v>350</v>
      </c>
      <c r="J28" s="8">
        <v>2</v>
      </c>
      <c r="K28" s="8">
        <v>2</v>
      </c>
      <c r="L28" s="8">
        <v>3</v>
      </c>
      <c r="M28" s="8">
        <v>4</v>
      </c>
      <c r="N28" s="8">
        <v>3</v>
      </c>
      <c r="O28" s="8">
        <v>2</v>
      </c>
      <c r="P28" s="8">
        <v>192</v>
      </c>
      <c r="Q28" s="8">
        <v>256</v>
      </c>
      <c r="R28" s="8">
        <v>384</v>
      </c>
      <c r="S28" s="8">
        <v>512</v>
      </c>
      <c r="T28" s="8">
        <v>384</v>
      </c>
      <c r="U28" s="8">
        <v>256</v>
      </c>
      <c r="V28" s="8">
        <v>512</v>
      </c>
      <c r="W28" s="8">
        <v>768</v>
      </c>
      <c r="X28" s="8">
        <v>1152</v>
      </c>
      <c r="Y28" s="8">
        <v>1408</v>
      </c>
      <c r="Z28" s="8">
        <v>1152</v>
      </c>
      <c r="AA28" s="8">
        <v>768</v>
      </c>
      <c r="AB28" s="8">
        <v>192</v>
      </c>
      <c r="AC28" s="8">
        <v>192</v>
      </c>
      <c r="AD28" s="8">
        <v>256</v>
      </c>
      <c r="AE28" s="8">
        <v>288</v>
      </c>
      <c r="AF28" s="8">
        <v>256</v>
      </c>
      <c r="AG28" s="8">
        <v>192</v>
      </c>
    </row>
    <row r="29" spans="1:33" ht="64" customHeight="1">
      <c r="A29" s="4" t="s">
        <v>237</v>
      </c>
      <c r="B29" s="8">
        <v>6</v>
      </c>
      <c r="C29" s="4" t="s">
        <v>229</v>
      </c>
      <c r="D29" s="4" t="s">
        <v>351</v>
      </c>
      <c r="E29" s="4" t="s">
        <v>277</v>
      </c>
      <c r="F29" s="4" t="s">
        <v>352</v>
      </c>
      <c r="G29" s="4" t="s">
        <v>353</v>
      </c>
      <c r="H29" s="8">
        <v>16</v>
      </c>
      <c r="I29" s="4" t="s">
        <v>354</v>
      </c>
      <c r="J29" s="8">
        <v>2</v>
      </c>
      <c r="K29" s="8">
        <v>2</v>
      </c>
      <c r="L29" s="8">
        <v>4</v>
      </c>
      <c r="M29" s="8">
        <v>3</v>
      </c>
      <c r="N29" s="8">
        <v>2</v>
      </c>
      <c r="O29" s="8">
        <v>3</v>
      </c>
      <c r="P29" s="8">
        <v>192</v>
      </c>
      <c r="Q29" s="8">
        <v>256</v>
      </c>
      <c r="R29" s="8">
        <v>384</v>
      </c>
      <c r="S29" s="8">
        <v>512</v>
      </c>
      <c r="T29" s="8">
        <v>384</v>
      </c>
      <c r="U29" s="8">
        <v>256</v>
      </c>
      <c r="V29" s="8">
        <v>640</v>
      </c>
      <c r="W29" s="8">
        <v>768</v>
      </c>
      <c r="X29" s="8">
        <v>1280</v>
      </c>
      <c r="Y29" s="8">
        <v>1408</v>
      </c>
      <c r="Z29" s="8">
        <v>1024</v>
      </c>
      <c r="AA29" s="8">
        <v>832</v>
      </c>
      <c r="AB29" s="8">
        <v>192</v>
      </c>
      <c r="AC29" s="8">
        <v>192</v>
      </c>
      <c r="AD29" s="8">
        <v>288</v>
      </c>
      <c r="AE29" s="8">
        <v>256</v>
      </c>
      <c r="AF29" s="8">
        <v>256</v>
      </c>
      <c r="AG29" s="8">
        <v>224</v>
      </c>
    </row>
    <row r="30" spans="1:33" ht="64" customHeight="1">
      <c r="A30" s="4" t="s">
        <v>241</v>
      </c>
      <c r="B30" s="8">
        <v>6</v>
      </c>
      <c r="C30" s="4" t="s">
        <v>229</v>
      </c>
      <c r="D30" s="4" t="s">
        <v>327</v>
      </c>
      <c r="E30" s="4" t="s">
        <v>277</v>
      </c>
      <c r="F30" s="4" t="s">
        <v>355</v>
      </c>
      <c r="G30" s="4" t="s">
        <v>356</v>
      </c>
      <c r="H30" s="8">
        <v>16</v>
      </c>
      <c r="I30" s="4" t="s">
        <v>357</v>
      </c>
      <c r="J30" s="8">
        <v>2</v>
      </c>
      <c r="K30" s="8">
        <v>2</v>
      </c>
      <c r="L30" s="8">
        <v>3</v>
      </c>
      <c r="M30" s="8">
        <v>3</v>
      </c>
      <c r="N30" s="8">
        <v>3</v>
      </c>
      <c r="O30" s="8">
        <v>3</v>
      </c>
      <c r="P30" s="8">
        <v>192</v>
      </c>
      <c r="Q30" s="8">
        <v>256</v>
      </c>
      <c r="R30" s="8">
        <v>384</v>
      </c>
      <c r="S30" s="8">
        <v>512</v>
      </c>
      <c r="T30" s="8">
        <v>384</v>
      </c>
      <c r="U30" s="8">
        <v>256</v>
      </c>
      <c r="V30" s="8">
        <v>640</v>
      </c>
      <c r="W30" s="8">
        <v>768</v>
      </c>
      <c r="X30" s="8">
        <v>1152</v>
      </c>
      <c r="Y30" s="8">
        <v>1280</v>
      </c>
      <c r="Z30" s="8">
        <v>1152</v>
      </c>
      <c r="AA30" s="8">
        <v>896</v>
      </c>
      <c r="AB30" s="8">
        <v>192</v>
      </c>
      <c r="AC30" s="8">
        <v>192</v>
      </c>
      <c r="AD30" s="8">
        <v>256</v>
      </c>
      <c r="AE30" s="8">
        <v>256</v>
      </c>
      <c r="AF30" s="8">
        <v>288</v>
      </c>
      <c r="AG30" s="8">
        <v>224</v>
      </c>
    </row>
  </sheetData>
  <mergeCells count="2">
    <mergeCell ref="A1:I2"/>
    <mergeCell ref="A3:I3"/>
  </mergeCells>
  <pageMargins left="0.3" right="0.3" top="0.4" bottom="0.4" header="0.3" footer="0.3"/>
  <pageSetup paperSize="9" fitToHeight="0" orientation="landscape"/>
  <headerFooter>
    <oddFooter>&amp;L ASR-Direct-v1 | regular200 搜索集 &amp;R 第 &amp;P / &amp;N 页</oddFooter>
  </headerFooter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12"/>
  <sheetViews>
    <sheetView showGridLines="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/>
  <cols>
    <col min="1" max="4" width="15.7109375" customWidth="1"/>
    <col min="5" max="7" width="20.7109375" customWidth="1"/>
    <col min="8" max="8" width="31.7109375" customWidth="1"/>
  </cols>
  <sheetData>
    <row r="1" spans="1:8">
      <c r="A1" s="1" t="s">
        <v>358</v>
      </c>
      <c r="B1" s="1"/>
      <c r="C1" s="1"/>
      <c r="D1" s="1"/>
      <c r="E1" s="1"/>
      <c r="F1" s="1"/>
      <c r="G1" s="1"/>
      <c r="H1" s="1"/>
    </row>
    <row r="2" spans="1:8">
      <c r="A2" s="1"/>
      <c r="B2" s="1"/>
      <c r="C2" s="1"/>
      <c r="D2" s="1"/>
      <c r="E2" s="1"/>
      <c r="F2" s="1"/>
      <c r="G2" s="1"/>
      <c r="H2" s="1"/>
    </row>
    <row r="3" spans="1:8" ht="34" customHeight="1">
      <c r="A3" s="2" t="s">
        <v>359</v>
      </c>
      <c r="B3" s="2"/>
      <c r="C3" s="2"/>
      <c r="D3" s="2"/>
      <c r="E3" s="2"/>
      <c r="F3" s="2"/>
      <c r="G3" s="2"/>
      <c r="H3" s="2"/>
    </row>
    <row r="5" spans="1:8" ht="32" customHeight="1">
      <c r="A5" t="s">
        <v>127</v>
      </c>
      <c r="B5" t="s">
        <v>360</v>
      </c>
      <c r="C5" t="s">
        <v>361</v>
      </c>
      <c r="D5" t="s">
        <v>129</v>
      </c>
      <c r="E5" t="s">
        <v>362</v>
      </c>
      <c r="F5" t="s">
        <v>363</v>
      </c>
      <c r="G5" t="s">
        <v>364</v>
      </c>
      <c r="H5" t="s">
        <v>365</v>
      </c>
    </row>
    <row r="6" spans="1:8" ht="30" customHeight="1">
      <c r="A6" s="4" t="s">
        <v>139</v>
      </c>
      <c r="B6" s="8">
        <v>1</v>
      </c>
      <c r="C6" s="8">
        <v>1</v>
      </c>
      <c r="D6" s="4" t="s">
        <v>54</v>
      </c>
      <c r="E6" s="5">
        <v>0.05694600674915636</v>
      </c>
      <c r="F6" s="5">
        <v>0.05694600674915636</v>
      </c>
      <c r="G6" s="7">
        <v>0</v>
      </c>
      <c r="H6" s="4" t="s">
        <v>140</v>
      </c>
    </row>
    <row r="7" spans="1:8" ht="30" customHeight="1">
      <c r="A7" s="4" t="s">
        <v>366</v>
      </c>
      <c r="B7" s="8">
        <v>4</v>
      </c>
      <c r="C7" s="8">
        <v>4</v>
      </c>
      <c r="D7" s="4" t="s">
        <v>367</v>
      </c>
      <c r="E7" s="5">
        <v>0.05610236220472441</v>
      </c>
      <c r="F7" s="5">
        <v>0.05610236220472441</v>
      </c>
      <c r="G7" s="7">
        <v>0.01481481481481486</v>
      </c>
      <c r="H7" s="4" t="s">
        <v>156</v>
      </c>
    </row>
    <row r="8" spans="1:8" ht="30" customHeight="1">
      <c r="A8" s="4" t="s">
        <v>368</v>
      </c>
      <c r="B8" s="8">
        <v>4</v>
      </c>
      <c r="C8" s="8">
        <v>4</v>
      </c>
      <c r="D8" s="4" t="s">
        <v>367</v>
      </c>
      <c r="E8" s="5">
        <v>0.05455568053993251</v>
      </c>
      <c r="F8" s="5">
        <v>0.05455568053993251</v>
      </c>
      <c r="G8" s="7">
        <v>0.04197530864197527</v>
      </c>
      <c r="H8" s="4" t="s">
        <v>164</v>
      </c>
    </row>
    <row r="9" spans="1:8" ht="30" customHeight="1">
      <c r="A9" s="4" t="s">
        <v>369</v>
      </c>
      <c r="B9" s="8">
        <v>4</v>
      </c>
      <c r="C9" s="8">
        <v>4</v>
      </c>
      <c r="D9" s="4" t="s">
        <v>367</v>
      </c>
      <c r="E9" s="5">
        <v>0.05455568053993251</v>
      </c>
      <c r="F9" s="5">
        <v>0.05455568053993251</v>
      </c>
      <c r="G9" s="7">
        <v>0.04197530864197527</v>
      </c>
      <c r="H9" s="4" t="s">
        <v>192</v>
      </c>
    </row>
    <row r="10" spans="1:8" ht="30" customHeight="1">
      <c r="A10" s="4" t="s">
        <v>370</v>
      </c>
      <c r="B10" s="8">
        <v>4</v>
      </c>
      <c r="C10" s="8">
        <v>4</v>
      </c>
      <c r="D10" s="4" t="s">
        <v>367</v>
      </c>
      <c r="E10" s="5">
        <v>0.05371203599550056</v>
      </c>
      <c r="F10" s="5">
        <v>0.05371203599550056</v>
      </c>
      <c r="G10" s="7">
        <v>0.05679012345679012</v>
      </c>
      <c r="H10" s="4" t="s">
        <v>11</v>
      </c>
    </row>
    <row r="11" spans="1:8" ht="30" customHeight="1">
      <c r="A11" s="4" t="s">
        <v>371</v>
      </c>
      <c r="B11" s="8">
        <v>4</v>
      </c>
      <c r="C11" s="8">
        <v>4</v>
      </c>
      <c r="D11" s="4" t="s">
        <v>367</v>
      </c>
      <c r="E11" s="5">
        <v>0.05610236220472441</v>
      </c>
      <c r="F11" s="5">
        <v>0.05371203599550056</v>
      </c>
      <c r="G11" s="7">
        <v>0.05679012345679012</v>
      </c>
      <c r="H11" s="4" t="s">
        <v>224</v>
      </c>
    </row>
    <row r="12" spans="1:8" ht="30" customHeight="1">
      <c r="A12" s="4" t="s">
        <v>372</v>
      </c>
      <c r="B12" s="8">
        <v>4</v>
      </c>
      <c r="C12" s="8">
        <v>0</v>
      </c>
      <c r="D12" s="4" t="s">
        <v>373</v>
      </c>
      <c r="E12" s="5"/>
      <c r="F12" s="5"/>
      <c r="G12" s="7"/>
      <c r="H12" s="4" t="s">
        <v>229</v>
      </c>
    </row>
  </sheetData>
  <mergeCells count="2">
    <mergeCell ref="A1:H2"/>
    <mergeCell ref="A3:H3"/>
  </mergeCells>
  <pageMargins left="0.3" right="0.3" top="0.4" bottom="0.4" header="0.3" footer="0.3"/>
  <pageSetup paperSize="9" fitToHeight="0" orientation="landscape"/>
  <headerFooter>
    <oddFooter>&amp;L ASR-Direct-v1 | regular200 搜索集 &amp;R 第 &amp;P / &amp;N 页</oddFooter>
  </headerFooter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25"/>
  <sheetViews>
    <sheetView showGridLines="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/>
  <cols>
    <col min="1" max="1" width="26.7109375" customWidth="1"/>
    <col min="2" max="5" width="38.7109375" customWidth="1"/>
  </cols>
  <sheetData>
    <row r="1" spans="1:5">
      <c r="A1" s="1" t="s">
        <v>374</v>
      </c>
      <c r="B1" s="1"/>
      <c r="C1" s="1"/>
      <c r="D1" s="1"/>
      <c r="E1" s="1"/>
    </row>
    <row r="2" spans="1:5">
      <c r="A2" s="1"/>
      <c r="B2" s="1"/>
      <c r="C2" s="1"/>
      <c r="D2" s="1"/>
      <c r="E2" s="1"/>
    </row>
    <row r="3" spans="1:5" ht="34" customHeight="1">
      <c r="A3" s="2" t="s">
        <v>375</v>
      </c>
      <c r="B3" s="2"/>
      <c r="C3" s="2"/>
      <c r="D3" s="2"/>
      <c r="E3" s="2"/>
    </row>
    <row r="5" spans="1:5" ht="32" customHeight="1">
      <c r="A5" t="s">
        <v>376</v>
      </c>
      <c r="B5" t="s">
        <v>139</v>
      </c>
      <c r="C5" t="s">
        <v>11</v>
      </c>
    </row>
    <row r="6" spans="1:5" ht="31" customHeight="1">
      <c r="A6" s="4" t="s">
        <v>377</v>
      </c>
      <c r="B6" s="4" t="s">
        <v>276</v>
      </c>
      <c r="C6" s="4" t="s">
        <v>327</v>
      </c>
    </row>
    <row r="7" spans="1:5" ht="31" customHeight="1">
      <c r="A7" s="4" t="s">
        <v>378</v>
      </c>
      <c r="B7" s="4" t="s">
        <v>277</v>
      </c>
      <c r="C7" s="4" t="s">
        <v>277</v>
      </c>
    </row>
    <row r="8" spans="1:5" ht="31" customHeight="1">
      <c r="A8" s="4" t="s">
        <v>379</v>
      </c>
      <c r="B8" s="4" t="s">
        <v>278</v>
      </c>
      <c r="C8" s="4" t="s">
        <v>328</v>
      </c>
    </row>
    <row r="9" spans="1:5" ht="31" customHeight="1">
      <c r="A9" s="4" t="s">
        <v>380</v>
      </c>
      <c r="B9" s="4" t="s">
        <v>279</v>
      </c>
      <c r="C9" s="4" t="s">
        <v>329</v>
      </c>
    </row>
    <row r="12" spans="1:5">
      <c r="A12" s="4" t="s">
        <v>381</v>
      </c>
      <c r="B12" s="4"/>
      <c r="C12" s="4"/>
      <c r="D12" s="4"/>
      <c r="E12" s="4"/>
    </row>
    <row r="13" spans="1:5">
      <c r="A13" s="4"/>
      <c r="B13" s="4"/>
      <c r="C13" s="4"/>
      <c r="D13" s="4"/>
      <c r="E13" s="4"/>
    </row>
    <row r="14" spans="1:5">
      <c r="A14" s="4"/>
      <c r="B14" s="4"/>
      <c r="C14" s="4"/>
      <c r="D14" s="4"/>
      <c r="E14" s="4"/>
    </row>
    <row r="15" spans="1:5">
      <c r="A15" s="4"/>
      <c r="B15" s="4"/>
      <c r="C15" s="4"/>
      <c r="D15" s="4"/>
      <c r="E15" s="4"/>
    </row>
    <row r="17" spans="1:5">
      <c r="A17" s="4" t="s">
        <v>382</v>
      </c>
      <c r="B17" s="4"/>
      <c r="C17" s="4"/>
      <c r="D17" s="4"/>
      <c r="E17" s="4"/>
    </row>
    <row r="18" spans="1:5">
      <c r="A18" s="4"/>
      <c r="B18" s="4"/>
      <c r="C18" s="4"/>
      <c r="D18" s="4"/>
      <c r="E18" s="4"/>
    </row>
    <row r="19" spans="1:5">
      <c r="A19" s="4"/>
      <c r="B19" s="4"/>
      <c r="C19" s="4"/>
      <c r="D19" s="4"/>
      <c r="E19" s="4"/>
    </row>
    <row r="20" spans="1:5">
      <c r="A20" s="4"/>
      <c r="B20" s="4"/>
      <c r="C20" s="4"/>
      <c r="D20" s="4"/>
      <c r="E20" s="4"/>
    </row>
    <row r="22" spans="1:5">
      <c r="A22" s="4" t="s">
        <v>383</v>
      </c>
      <c r="B22" s="4"/>
      <c r="C22" s="4"/>
      <c r="D22" s="4"/>
      <c r="E22" s="4"/>
    </row>
    <row r="23" spans="1:5">
      <c r="A23" s="4"/>
      <c r="B23" s="4"/>
      <c r="C23" s="4"/>
      <c r="D23" s="4"/>
      <c r="E23" s="4"/>
    </row>
    <row r="24" spans="1:5">
      <c r="A24" s="4"/>
      <c r="B24" s="4"/>
      <c r="C24" s="4"/>
      <c r="D24" s="4"/>
      <c r="E24" s="4"/>
    </row>
    <row r="25" spans="1:5">
      <c r="A25" s="4"/>
      <c r="B25" s="4"/>
      <c r="C25" s="4"/>
      <c r="D25" s="4"/>
      <c r="E25" s="4"/>
    </row>
  </sheetData>
  <mergeCells count="5">
    <mergeCell ref="A1:E2"/>
    <mergeCell ref="A3:E3"/>
    <mergeCell ref="A12:E15"/>
    <mergeCell ref="A17:E20"/>
    <mergeCell ref="A22:E25"/>
  </mergeCells>
  <pageMargins left="0.3" right="0.3" top="0.4" bottom="0.4" header="0.3" footer="0.3"/>
  <pageSetup paperSize="9" fitToHeight="0" orientation="landscape"/>
  <headerFooter>
    <oddFooter>&amp;L ASR-Direct-v1 | regular200 搜索集 &amp;R 第 &amp;P / &amp;N 页</oddFooter>
  </headerFooter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17"/>
  <sheetViews>
    <sheetView showGridLines="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/>
  <cols>
    <col min="1" max="1" width="22.7109375" customWidth="1"/>
    <col min="2" max="2" width="105.7109375" customWidth="1"/>
    <col min="3" max="3" width="58.7109375" customWidth="1"/>
  </cols>
  <sheetData>
    <row r="1" spans="1:3">
      <c r="A1" s="1" t="s">
        <v>384</v>
      </c>
      <c r="B1" s="1"/>
      <c r="C1" s="1"/>
    </row>
    <row r="2" spans="1:3">
      <c r="A2" s="1"/>
      <c r="B2" s="1"/>
      <c r="C2" s="1"/>
    </row>
    <row r="3" spans="1:3" ht="34" customHeight="1">
      <c r="A3" s="2" t="s">
        <v>385</v>
      </c>
      <c r="B3" s="2"/>
      <c r="C3" s="2"/>
    </row>
    <row r="5" spans="1:3" ht="32" customHeight="1">
      <c r="A5" t="s">
        <v>386</v>
      </c>
      <c r="B5" t="s">
        <v>387</v>
      </c>
      <c r="C5" t="s">
        <v>26</v>
      </c>
    </row>
    <row r="6" spans="1:3" ht="128" customHeight="1">
      <c r="A6" s="4" t="s">
        <v>388</v>
      </c>
      <c r="B6" s="4" t="s">
        <v>389</v>
      </c>
      <c r="C6" s="4" t="s">
        <v>390</v>
      </c>
    </row>
    <row r="7" spans="1:3" ht="65" customHeight="1">
      <c r="A7" s="4" t="s">
        <v>391</v>
      </c>
      <c r="B7" s="4" t="s">
        <v>392</v>
      </c>
      <c r="C7" s="4" t="s">
        <v>393</v>
      </c>
    </row>
    <row r="8" spans="1:3" ht="65" customHeight="1">
      <c r="A8" s="4" t="s">
        <v>394</v>
      </c>
      <c r="B8" s="4" t="s">
        <v>395</v>
      </c>
      <c r="C8" s="4" t="s">
        <v>396</v>
      </c>
    </row>
    <row r="9" spans="1:3" ht="65" customHeight="1">
      <c r="A9" s="4" t="s">
        <v>397</v>
      </c>
      <c r="B9" s="4" t="s">
        <v>398</v>
      </c>
      <c r="C9" s="4" t="s">
        <v>399</v>
      </c>
    </row>
    <row r="10" spans="1:3" ht="65" customHeight="1">
      <c r="A10" s="4" t="s">
        <v>400</v>
      </c>
      <c r="B10" s="4" t="s">
        <v>401</v>
      </c>
      <c r="C10" s="4" t="s">
        <v>402</v>
      </c>
    </row>
    <row r="11" spans="1:3" ht="65" customHeight="1">
      <c r="A11" s="4" t="s">
        <v>403</v>
      </c>
      <c r="B11" s="4" t="s">
        <v>404</v>
      </c>
      <c r="C11" s="4" t="s">
        <v>405</v>
      </c>
    </row>
    <row r="12" spans="1:3" ht="65" customHeight="1">
      <c r="A12" s="4" t="s">
        <v>406</v>
      </c>
      <c r="B12" s="4" t="s">
        <v>407</v>
      </c>
      <c r="C12" s="4" t="s">
        <v>408</v>
      </c>
    </row>
    <row r="13" spans="1:3" ht="65" customHeight="1">
      <c r="A13" s="4" t="s">
        <v>409</v>
      </c>
      <c r="B13" s="4" t="s">
        <v>410</v>
      </c>
      <c r="C13" s="4" t="s">
        <v>411</v>
      </c>
    </row>
    <row r="14" spans="1:3" ht="65" customHeight="1">
      <c r="A14" s="4" t="s">
        <v>412</v>
      </c>
      <c r="B14" s="4" t="s">
        <v>413</v>
      </c>
      <c r="C14" s="4" t="s">
        <v>414</v>
      </c>
    </row>
    <row r="15" spans="1:3" ht="65" customHeight="1">
      <c r="A15" s="4" t="s">
        <v>415</v>
      </c>
      <c r="B15" s="4" t="s">
        <v>416</v>
      </c>
      <c r="C15" s="4" t="s">
        <v>417</v>
      </c>
    </row>
    <row r="16" spans="1:3" ht="65" customHeight="1">
      <c r="A16" s="4" t="s">
        <v>418</v>
      </c>
      <c r="B16" s="4" t="s">
        <v>419</v>
      </c>
      <c r="C16" s="4" t="s">
        <v>420</v>
      </c>
    </row>
    <row r="17" spans="1:3" ht="65" customHeight="1">
      <c r="A17" s="4" t="s">
        <v>421</v>
      </c>
      <c r="B17" s="4" t="s">
        <v>422</v>
      </c>
      <c r="C17" s="4" t="s">
        <v>423</v>
      </c>
    </row>
  </sheetData>
  <mergeCells count="2">
    <mergeCell ref="A1:C2"/>
    <mergeCell ref="A3:C3"/>
  </mergeCells>
  <pageMargins left="0.3" right="0.3" top="0.4" bottom="0.4" header="0.3" footer="0.3"/>
  <pageSetup paperSize="9" fitToHeight="0" orientation="landscape"/>
  <headerFooter>
    <oddFooter>&amp;L ASR-Direct-v1 | regular200 搜索集 &amp;R 第 &amp;P / &amp;N 页</oddFooter>
  </headerFooter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113"/>
  <sheetViews>
    <sheetView showGridLines="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/>
  <cols>
    <col min="1" max="1" width="23.7109375" customWidth="1"/>
    <col min="2" max="2" width="35.7109375" customWidth="1"/>
    <col min="3" max="3" width="110.7109375" customWidth="1"/>
    <col min="4" max="4" width="70.7109375" customWidth="1"/>
    <col min="5" max="5" width="65.7109375" customWidth="1"/>
  </cols>
  <sheetData>
    <row r="1" spans="1:5">
      <c r="A1" s="1" t="s">
        <v>424</v>
      </c>
      <c r="B1" s="1"/>
      <c r="C1" s="1"/>
      <c r="D1" s="1"/>
      <c r="E1" s="1"/>
    </row>
    <row r="2" spans="1:5">
      <c r="A2" s="1"/>
      <c r="B2" s="1"/>
      <c r="C2" s="1"/>
      <c r="D2" s="1"/>
      <c r="E2" s="1"/>
    </row>
    <row r="3" spans="1:5" ht="34" customHeight="1">
      <c r="A3" s="2" t="s">
        <v>425</v>
      </c>
      <c r="B3" s="2"/>
      <c r="C3" s="2"/>
      <c r="D3" s="2"/>
      <c r="E3" s="2"/>
    </row>
    <row r="5" spans="1:5" ht="32" customHeight="1">
      <c r="A5" t="s">
        <v>426</v>
      </c>
      <c r="B5" t="s">
        <v>427</v>
      </c>
      <c r="C5" t="s">
        <v>428</v>
      </c>
      <c r="D5" t="s">
        <v>429</v>
      </c>
      <c r="E5" t="s">
        <v>26</v>
      </c>
    </row>
    <row r="6" spans="1:5" ht="56" customHeight="1">
      <c r="A6" s="4" t="s">
        <v>430</v>
      </c>
      <c r="B6" s="4" t="s">
        <v>29</v>
      </c>
      <c r="C6" s="4" t="s">
        <v>431</v>
      </c>
      <c r="D6" s="4" t="s">
        <v>143</v>
      </c>
      <c r="E6" s="4" t="s">
        <v>432</v>
      </c>
    </row>
    <row r="7" spans="1:5" ht="56" customHeight="1">
      <c r="A7" s="4" t="s">
        <v>433</v>
      </c>
      <c r="B7" s="4" t="s">
        <v>434</v>
      </c>
      <c r="C7" s="4" t="s">
        <v>435</v>
      </c>
      <c r="D7" s="4" t="s">
        <v>143</v>
      </c>
      <c r="E7" s="4" t="s">
        <v>436</v>
      </c>
    </row>
    <row r="8" spans="1:5" ht="56" customHeight="1">
      <c r="A8" s="4" t="s">
        <v>437</v>
      </c>
      <c r="B8" s="4" t="s">
        <v>438</v>
      </c>
      <c r="C8" s="4" t="s">
        <v>439</v>
      </c>
      <c r="D8" s="4" t="s">
        <v>440</v>
      </c>
      <c r="E8" s="4" t="s">
        <v>141</v>
      </c>
    </row>
    <row r="9" spans="1:5" ht="56" customHeight="1">
      <c r="A9" s="4" t="s">
        <v>441</v>
      </c>
      <c r="B9" s="4" t="s">
        <v>147</v>
      </c>
      <c r="C9" s="4" t="s">
        <v>442</v>
      </c>
      <c r="D9" s="4" t="s">
        <v>443</v>
      </c>
      <c r="E9" s="4" t="s">
        <v>444</v>
      </c>
    </row>
    <row r="10" spans="1:5" ht="56" customHeight="1">
      <c r="A10" s="4" t="s">
        <v>107</v>
      </c>
      <c r="B10" s="4" t="s">
        <v>147</v>
      </c>
      <c r="C10" s="4" t="s">
        <v>149</v>
      </c>
      <c r="D10" s="4" t="s">
        <v>149</v>
      </c>
      <c r="E10" s="4" t="s">
        <v>445</v>
      </c>
    </row>
    <row r="11" spans="1:5" ht="56" customHeight="1">
      <c r="A11" s="4" t="s">
        <v>437</v>
      </c>
      <c r="B11" s="4" t="s">
        <v>446</v>
      </c>
      <c r="C11" s="4" t="s">
        <v>447</v>
      </c>
      <c r="D11" s="4" t="s">
        <v>448</v>
      </c>
      <c r="E11" s="4" t="s">
        <v>141</v>
      </c>
    </row>
    <row r="12" spans="1:5" ht="56" customHeight="1">
      <c r="A12" s="4" t="s">
        <v>441</v>
      </c>
      <c r="B12" s="4" t="s">
        <v>152</v>
      </c>
      <c r="C12" s="4" t="s">
        <v>449</v>
      </c>
      <c r="D12" s="4" t="s">
        <v>450</v>
      </c>
      <c r="E12" s="4" t="s">
        <v>451</v>
      </c>
    </row>
    <row r="13" spans="1:5" ht="56" customHeight="1">
      <c r="A13" s="4" t="s">
        <v>107</v>
      </c>
      <c r="B13" s="4" t="s">
        <v>152</v>
      </c>
      <c r="C13" s="4" t="s">
        <v>149</v>
      </c>
      <c r="D13" s="4" t="s">
        <v>149</v>
      </c>
      <c r="E13" s="4" t="s">
        <v>445</v>
      </c>
    </row>
    <row r="14" spans="1:5" ht="56" customHeight="1">
      <c r="A14" s="4" t="s">
        <v>437</v>
      </c>
      <c r="B14" s="4" t="s">
        <v>452</v>
      </c>
      <c r="C14" s="4" t="s">
        <v>453</v>
      </c>
      <c r="D14" s="4" t="s">
        <v>454</v>
      </c>
      <c r="E14" s="4" t="s">
        <v>141</v>
      </c>
    </row>
    <row r="15" spans="1:5" ht="56" customHeight="1">
      <c r="A15" s="4" t="s">
        <v>441</v>
      </c>
      <c r="B15" s="4" t="s">
        <v>156</v>
      </c>
      <c r="C15" s="4" t="s">
        <v>455</v>
      </c>
      <c r="D15" s="4" t="s">
        <v>456</v>
      </c>
      <c r="E15" s="4" t="s">
        <v>457</v>
      </c>
    </row>
    <row r="16" spans="1:5" ht="56" customHeight="1">
      <c r="A16" s="4" t="s">
        <v>107</v>
      </c>
      <c r="B16" s="4" t="s">
        <v>156</v>
      </c>
      <c r="C16" s="4" t="s">
        <v>149</v>
      </c>
      <c r="D16" s="4" t="s">
        <v>149</v>
      </c>
      <c r="E16" s="4" t="s">
        <v>445</v>
      </c>
    </row>
    <row r="17" spans="1:5" ht="56" customHeight="1">
      <c r="A17" s="4" t="s">
        <v>437</v>
      </c>
      <c r="B17" s="4" t="s">
        <v>458</v>
      </c>
      <c r="C17" s="4" t="s">
        <v>459</v>
      </c>
      <c r="D17" s="4" t="s">
        <v>460</v>
      </c>
      <c r="E17" s="4" t="s">
        <v>141</v>
      </c>
    </row>
    <row r="18" spans="1:5" ht="56" customHeight="1">
      <c r="A18" s="4" t="s">
        <v>441</v>
      </c>
      <c r="B18" s="4" t="s">
        <v>160</v>
      </c>
      <c r="C18" s="4" t="s">
        <v>461</v>
      </c>
      <c r="D18" s="4" t="s">
        <v>462</v>
      </c>
      <c r="E18" s="4" t="s">
        <v>463</v>
      </c>
    </row>
    <row r="19" spans="1:5" ht="56" customHeight="1">
      <c r="A19" s="4" t="s">
        <v>107</v>
      </c>
      <c r="B19" s="4" t="s">
        <v>160</v>
      </c>
      <c r="C19" s="4" t="s">
        <v>149</v>
      </c>
      <c r="D19" s="4" t="s">
        <v>149</v>
      </c>
      <c r="E19" s="4" t="s">
        <v>445</v>
      </c>
    </row>
    <row r="20" spans="1:5" ht="56" customHeight="1">
      <c r="A20" s="4" t="s">
        <v>437</v>
      </c>
      <c r="B20" s="4" t="s">
        <v>464</v>
      </c>
      <c r="C20" s="4" t="s">
        <v>465</v>
      </c>
      <c r="D20" s="4" t="s">
        <v>466</v>
      </c>
      <c r="E20" s="4" t="s">
        <v>141</v>
      </c>
    </row>
    <row r="21" spans="1:5" ht="56" customHeight="1">
      <c r="A21" s="4" t="s">
        <v>441</v>
      </c>
      <c r="B21" s="4" t="s">
        <v>164</v>
      </c>
      <c r="C21" s="4" t="s">
        <v>467</v>
      </c>
      <c r="D21" s="4" t="s">
        <v>468</v>
      </c>
      <c r="E21" s="4" t="s">
        <v>469</v>
      </c>
    </row>
    <row r="22" spans="1:5" ht="56" customHeight="1">
      <c r="A22" s="4" t="s">
        <v>107</v>
      </c>
      <c r="B22" s="4" t="s">
        <v>164</v>
      </c>
      <c r="C22" s="4" t="s">
        <v>149</v>
      </c>
      <c r="D22" s="4" t="s">
        <v>149</v>
      </c>
      <c r="E22" s="4" t="s">
        <v>445</v>
      </c>
    </row>
    <row r="23" spans="1:5" ht="56" customHeight="1">
      <c r="A23" s="4" t="s">
        <v>437</v>
      </c>
      <c r="B23" s="4" t="s">
        <v>470</v>
      </c>
      <c r="C23" s="4" t="s">
        <v>471</v>
      </c>
      <c r="D23" s="4" t="s">
        <v>472</v>
      </c>
      <c r="E23" s="4" t="s">
        <v>141</v>
      </c>
    </row>
    <row r="24" spans="1:5" ht="56" customHeight="1">
      <c r="A24" s="4" t="s">
        <v>441</v>
      </c>
      <c r="B24" s="4" t="s">
        <v>168</v>
      </c>
      <c r="C24" s="4" t="s">
        <v>473</v>
      </c>
      <c r="D24" s="4" t="s">
        <v>474</v>
      </c>
      <c r="E24" s="4" t="s">
        <v>475</v>
      </c>
    </row>
    <row r="25" spans="1:5" ht="56" customHeight="1">
      <c r="A25" s="4" t="s">
        <v>107</v>
      </c>
      <c r="B25" s="4" t="s">
        <v>168</v>
      </c>
      <c r="C25" s="4" t="s">
        <v>149</v>
      </c>
      <c r="D25" s="4" t="s">
        <v>149</v>
      </c>
      <c r="E25" s="4" t="s">
        <v>445</v>
      </c>
    </row>
    <row r="26" spans="1:5" ht="56" customHeight="1">
      <c r="A26" s="4" t="s">
        <v>437</v>
      </c>
      <c r="B26" s="4" t="s">
        <v>476</v>
      </c>
      <c r="C26" s="4" t="s">
        <v>477</v>
      </c>
      <c r="D26" s="4" t="s">
        <v>478</v>
      </c>
      <c r="E26" s="4" t="s">
        <v>141</v>
      </c>
    </row>
    <row r="27" spans="1:5" ht="56" customHeight="1">
      <c r="A27" s="4" t="s">
        <v>441</v>
      </c>
      <c r="B27" s="4" t="s">
        <v>172</v>
      </c>
      <c r="C27" s="4" t="s">
        <v>479</v>
      </c>
      <c r="D27" s="4" t="s">
        <v>480</v>
      </c>
      <c r="E27" s="4" t="s">
        <v>481</v>
      </c>
    </row>
    <row r="28" spans="1:5" ht="56" customHeight="1">
      <c r="A28" s="4" t="s">
        <v>107</v>
      </c>
      <c r="B28" s="4" t="s">
        <v>172</v>
      </c>
      <c r="C28" s="4" t="s">
        <v>149</v>
      </c>
      <c r="D28" s="4" t="s">
        <v>149</v>
      </c>
      <c r="E28" s="4" t="s">
        <v>445</v>
      </c>
    </row>
    <row r="29" spans="1:5" ht="56" customHeight="1">
      <c r="A29" s="4" t="s">
        <v>437</v>
      </c>
      <c r="B29" s="4" t="s">
        <v>482</v>
      </c>
      <c r="C29" s="4" t="s">
        <v>483</v>
      </c>
      <c r="D29" s="4" t="s">
        <v>484</v>
      </c>
      <c r="E29" s="4" t="s">
        <v>141</v>
      </c>
    </row>
    <row r="30" spans="1:5" ht="56" customHeight="1">
      <c r="A30" s="4" t="s">
        <v>441</v>
      </c>
      <c r="B30" s="4" t="s">
        <v>176</v>
      </c>
      <c r="C30" s="4" t="s">
        <v>485</v>
      </c>
      <c r="D30" s="4" t="s">
        <v>486</v>
      </c>
      <c r="E30" s="4" t="s">
        <v>487</v>
      </c>
    </row>
    <row r="31" spans="1:5" ht="56" customHeight="1">
      <c r="A31" s="4" t="s">
        <v>107</v>
      </c>
      <c r="B31" s="4" t="s">
        <v>176</v>
      </c>
      <c r="C31" s="4" t="s">
        <v>149</v>
      </c>
      <c r="D31" s="4" t="s">
        <v>149</v>
      </c>
      <c r="E31" s="4" t="s">
        <v>445</v>
      </c>
    </row>
    <row r="32" spans="1:5" ht="56" customHeight="1">
      <c r="A32" s="4" t="s">
        <v>437</v>
      </c>
      <c r="B32" s="4" t="s">
        <v>488</v>
      </c>
      <c r="C32" s="4" t="s">
        <v>489</v>
      </c>
      <c r="D32" s="4" t="s">
        <v>490</v>
      </c>
      <c r="E32" s="4" t="s">
        <v>141</v>
      </c>
    </row>
    <row r="33" spans="1:5" ht="56" customHeight="1">
      <c r="A33" s="4" t="s">
        <v>441</v>
      </c>
      <c r="B33" s="4" t="s">
        <v>180</v>
      </c>
      <c r="C33" s="4" t="s">
        <v>491</v>
      </c>
      <c r="D33" s="4" t="s">
        <v>492</v>
      </c>
      <c r="E33" s="4" t="s">
        <v>493</v>
      </c>
    </row>
    <row r="34" spans="1:5" ht="56" customHeight="1">
      <c r="A34" s="4" t="s">
        <v>107</v>
      </c>
      <c r="B34" s="4" t="s">
        <v>180</v>
      </c>
      <c r="C34" s="4" t="s">
        <v>149</v>
      </c>
      <c r="D34" s="4" t="s">
        <v>149</v>
      </c>
      <c r="E34" s="4" t="s">
        <v>445</v>
      </c>
    </row>
    <row r="35" spans="1:5" ht="56" customHeight="1">
      <c r="A35" s="4" t="s">
        <v>437</v>
      </c>
      <c r="B35" s="4" t="s">
        <v>494</v>
      </c>
      <c r="C35" s="4" t="s">
        <v>495</v>
      </c>
      <c r="D35" s="4" t="s">
        <v>496</v>
      </c>
      <c r="E35" s="4" t="s">
        <v>141</v>
      </c>
    </row>
    <row r="36" spans="1:5" ht="56" customHeight="1">
      <c r="A36" s="4" t="s">
        <v>441</v>
      </c>
      <c r="B36" s="4" t="s">
        <v>184</v>
      </c>
      <c r="C36" s="4" t="s">
        <v>497</v>
      </c>
      <c r="D36" s="4" t="s">
        <v>498</v>
      </c>
      <c r="E36" s="4" t="s">
        <v>499</v>
      </c>
    </row>
    <row r="37" spans="1:5" ht="56" customHeight="1">
      <c r="A37" s="4" t="s">
        <v>107</v>
      </c>
      <c r="B37" s="4" t="s">
        <v>184</v>
      </c>
      <c r="C37" s="4" t="s">
        <v>149</v>
      </c>
      <c r="D37" s="4" t="s">
        <v>149</v>
      </c>
      <c r="E37" s="4" t="s">
        <v>445</v>
      </c>
    </row>
    <row r="38" spans="1:5" ht="56" customHeight="1">
      <c r="A38" s="4" t="s">
        <v>437</v>
      </c>
      <c r="B38" s="4" t="s">
        <v>500</v>
      </c>
      <c r="C38" s="4" t="s">
        <v>501</v>
      </c>
      <c r="D38" s="4" t="s">
        <v>502</v>
      </c>
      <c r="E38" s="4" t="s">
        <v>141</v>
      </c>
    </row>
    <row r="39" spans="1:5" ht="56" customHeight="1">
      <c r="A39" s="4" t="s">
        <v>441</v>
      </c>
      <c r="B39" s="4" t="s">
        <v>188</v>
      </c>
      <c r="C39" s="4" t="s">
        <v>503</v>
      </c>
      <c r="D39" s="4" t="s">
        <v>504</v>
      </c>
      <c r="E39" s="4" t="s">
        <v>505</v>
      </c>
    </row>
    <row r="40" spans="1:5" ht="56" customHeight="1">
      <c r="A40" s="4" t="s">
        <v>107</v>
      </c>
      <c r="B40" s="4" t="s">
        <v>188</v>
      </c>
      <c r="C40" s="4" t="s">
        <v>149</v>
      </c>
      <c r="D40" s="4" t="s">
        <v>149</v>
      </c>
      <c r="E40" s="4" t="s">
        <v>445</v>
      </c>
    </row>
    <row r="41" spans="1:5" ht="56" customHeight="1">
      <c r="A41" s="4" t="s">
        <v>437</v>
      </c>
      <c r="B41" s="4" t="s">
        <v>506</v>
      </c>
      <c r="C41" s="4" t="s">
        <v>507</v>
      </c>
      <c r="D41" s="4" t="s">
        <v>508</v>
      </c>
      <c r="E41" s="4" t="s">
        <v>141</v>
      </c>
    </row>
    <row r="42" spans="1:5" ht="56" customHeight="1">
      <c r="A42" s="4" t="s">
        <v>441</v>
      </c>
      <c r="B42" s="4" t="s">
        <v>192</v>
      </c>
      <c r="C42" s="4" t="s">
        <v>509</v>
      </c>
      <c r="D42" s="4" t="s">
        <v>510</v>
      </c>
      <c r="E42" s="4" t="s">
        <v>511</v>
      </c>
    </row>
    <row r="43" spans="1:5" ht="56" customHeight="1">
      <c r="A43" s="4" t="s">
        <v>107</v>
      </c>
      <c r="B43" s="4" t="s">
        <v>192</v>
      </c>
      <c r="C43" s="4" t="s">
        <v>149</v>
      </c>
      <c r="D43" s="4" t="s">
        <v>149</v>
      </c>
      <c r="E43" s="4" t="s">
        <v>445</v>
      </c>
    </row>
    <row r="44" spans="1:5" ht="56" customHeight="1">
      <c r="A44" s="4" t="s">
        <v>437</v>
      </c>
      <c r="B44" s="4" t="s">
        <v>512</v>
      </c>
      <c r="C44" s="4" t="s">
        <v>513</v>
      </c>
      <c r="D44" s="4" t="s">
        <v>514</v>
      </c>
      <c r="E44" s="4" t="s">
        <v>141</v>
      </c>
    </row>
    <row r="45" spans="1:5" ht="56" customHeight="1">
      <c r="A45" s="4" t="s">
        <v>441</v>
      </c>
      <c r="B45" s="4" t="s">
        <v>196</v>
      </c>
      <c r="C45" s="4" t="s">
        <v>515</v>
      </c>
      <c r="D45" s="4" t="s">
        <v>516</v>
      </c>
      <c r="E45" s="4" t="s">
        <v>517</v>
      </c>
    </row>
    <row r="46" spans="1:5" ht="56" customHeight="1">
      <c r="A46" s="4" t="s">
        <v>107</v>
      </c>
      <c r="B46" s="4" t="s">
        <v>196</v>
      </c>
      <c r="C46" s="4" t="s">
        <v>198</v>
      </c>
      <c r="D46" s="4" t="s">
        <v>198</v>
      </c>
      <c r="E46" s="4" t="s">
        <v>445</v>
      </c>
    </row>
    <row r="47" spans="1:5" ht="56" customHeight="1">
      <c r="A47" s="4" t="s">
        <v>437</v>
      </c>
      <c r="B47" s="4" t="s">
        <v>518</v>
      </c>
      <c r="C47" s="4" t="s">
        <v>519</v>
      </c>
      <c r="D47" s="4" t="s">
        <v>520</v>
      </c>
      <c r="E47" s="4" t="s">
        <v>141</v>
      </c>
    </row>
    <row r="48" spans="1:5" ht="56" customHeight="1">
      <c r="A48" s="4" t="s">
        <v>441</v>
      </c>
      <c r="B48" s="4" t="s">
        <v>11</v>
      </c>
      <c r="C48" s="4" t="s">
        <v>521</v>
      </c>
      <c r="D48" s="4" t="s">
        <v>522</v>
      </c>
      <c r="E48" s="4" t="s">
        <v>523</v>
      </c>
    </row>
    <row r="49" spans="1:5" ht="56" customHeight="1">
      <c r="A49" s="4" t="s">
        <v>107</v>
      </c>
      <c r="B49" s="4" t="s">
        <v>11</v>
      </c>
      <c r="C49" s="4" t="s">
        <v>198</v>
      </c>
      <c r="D49" s="4" t="s">
        <v>198</v>
      </c>
      <c r="E49" s="4" t="s">
        <v>445</v>
      </c>
    </row>
    <row r="50" spans="1:5" ht="56" customHeight="1">
      <c r="A50" s="4" t="s">
        <v>437</v>
      </c>
      <c r="B50" s="4" t="s">
        <v>524</v>
      </c>
      <c r="C50" s="4" t="s">
        <v>525</v>
      </c>
      <c r="D50" s="4" t="s">
        <v>526</v>
      </c>
      <c r="E50" s="4" t="s">
        <v>141</v>
      </c>
    </row>
    <row r="51" spans="1:5" ht="56" customHeight="1">
      <c r="A51" s="4" t="s">
        <v>441</v>
      </c>
      <c r="B51" s="4" t="s">
        <v>204</v>
      </c>
      <c r="C51" s="4" t="s">
        <v>527</v>
      </c>
      <c r="D51" s="4" t="s">
        <v>528</v>
      </c>
      <c r="E51" s="4" t="s">
        <v>529</v>
      </c>
    </row>
    <row r="52" spans="1:5" ht="56" customHeight="1">
      <c r="A52" s="4" t="s">
        <v>107</v>
      </c>
      <c r="B52" s="4" t="s">
        <v>204</v>
      </c>
      <c r="C52" s="4" t="s">
        <v>198</v>
      </c>
      <c r="D52" s="4" t="s">
        <v>198</v>
      </c>
      <c r="E52" s="4" t="s">
        <v>445</v>
      </c>
    </row>
    <row r="53" spans="1:5" ht="56" customHeight="1">
      <c r="A53" s="4" t="s">
        <v>437</v>
      </c>
      <c r="B53" s="4" t="s">
        <v>530</v>
      </c>
      <c r="C53" s="4" t="s">
        <v>531</v>
      </c>
      <c r="D53" s="4" t="s">
        <v>532</v>
      </c>
      <c r="E53" s="4" t="s">
        <v>141</v>
      </c>
    </row>
    <row r="54" spans="1:5" ht="56" customHeight="1">
      <c r="A54" s="4" t="s">
        <v>441</v>
      </c>
      <c r="B54" s="4" t="s">
        <v>208</v>
      </c>
      <c r="C54" s="4" t="s">
        <v>533</v>
      </c>
      <c r="D54" s="4" t="s">
        <v>534</v>
      </c>
      <c r="E54" s="4" t="s">
        <v>535</v>
      </c>
    </row>
    <row r="55" spans="1:5" ht="56" customHeight="1">
      <c r="A55" s="4" t="s">
        <v>107</v>
      </c>
      <c r="B55" s="4" t="s">
        <v>208</v>
      </c>
      <c r="C55" s="4" t="s">
        <v>198</v>
      </c>
      <c r="D55" s="4" t="s">
        <v>198</v>
      </c>
      <c r="E55" s="4" t="s">
        <v>445</v>
      </c>
    </row>
    <row r="56" spans="1:5" ht="56" customHeight="1">
      <c r="A56" s="4" t="s">
        <v>437</v>
      </c>
      <c r="B56" s="4" t="s">
        <v>536</v>
      </c>
      <c r="C56" s="4" t="s">
        <v>537</v>
      </c>
      <c r="D56" s="4" t="s">
        <v>538</v>
      </c>
      <c r="E56" s="4" t="s">
        <v>141</v>
      </c>
    </row>
    <row r="57" spans="1:5" ht="56" customHeight="1">
      <c r="A57" s="4" t="s">
        <v>441</v>
      </c>
      <c r="B57" s="4" t="s">
        <v>212</v>
      </c>
      <c r="C57" s="4" t="s">
        <v>539</v>
      </c>
      <c r="D57" s="4" t="s">
        <v>540</v>
      </c>
      <c r="E57" s="4" t="s">
        <v>541</v>
      </c>
    </row>
    <row r="58" spans="1:5" ht="56" customHeight="1">
      <c r="A58" s="4" t="s">
        <v>107</v>
      </c>
      <c r="B58" s="4" t="s">
        <v>212</v>
      </c>
      <c r="C58" s="4" t="s">
        <v>542</v>
      </c>
      <c r="D58" s="4" t="s">
        <v>198</v>
      </c>
      <c r="E58" s="4" t="s">
        <v>543</v>
      </c>
    </row>
    <row r="59" spans="1:5" ht="56" customHeight="1">
      <c r="A59" s="4" t="s">
        <v>437</v>
      </c>
      <c r="B59" s="4" t="s">
        <v>544</v>
      </c>
      <c r="C59" s="4" t="s">
        <v>545</v>
      </c>
      <c r="D59" s="4" t="s">
        <v>546</v>
      </c>
      <c r="E59" s="4" t="s">
        <v>141</v>
      </c>
    </row>
    <row r="60" spans="1:5" ht="56" customHeight="1">
      <c r="A60" s="4" t="s">
        <v>441</v>
      </c>
      <c r="B60" s="4" t="s">
        <v>216</v>
      </c>
      <c r="C60" s="4" t="s">
        <v>547</v>
      </c>
      <c r="D60" s="4" t="s">
        <v>548</v>
      </c>
      <c r="E60" s="4" t="s">
        <v>549</v>
      </c>
    </row>
    <row r="61" spans="1:5" ht="56" customHeight="1">
      <c r="A61" s="4" t="s">
        <v>107</v>
      </c>
      <c r="B61" s="4" t="s">
        <v>216</v>
      </c>
      <c r="C61" s="4" t="s">
        <v>542</v>
      </c>
      <c r="D61" s="4" t="s">
        <v>198</v>
      </c>
      <c r="E61" s="4" t="s">
        <v>543</v>
      </c>
    </row>
    <row r="62" spans="1:5" ht="56" customHeight="1">
      <c r="A62" s="4" t="s">
        <v>437</v>
      </c>
      <c r="B62" s="4" t="s">
        <v>550</v>
      </c>
      <c r="C62" s="4" t="s">
        <v>551</v>
      </c>
      <c r="D62" s="4" t="s">
        <v>552</v>
      </c>
      <c r="E62" s="4" t="s">
        <v>141</v>
      </c>
    </row>
    <row r="63" spans="1:5" ht="56" customHeight="1">
      <c r="A63" s="4" t="s">
        <v>441</v>
      </c>
      <c r="B63" s="4" t="s">
        <v>220</v>
      </c>
      <c r="C63" s="4" t="s">
        <v>553</v>
      </c>
      <c r="D63" s="4" t="s">
        <v>554</v>
      </c>
      <c r="E63" s="4" t="s">
        <v>555</v>
      </c>
    </row>
    <row r="64" spans="1:5" ht="56" customHeight="1">
      <c r="A64" s="4" t="s">
        <v>107</v>
      </c>
      <c r="B64" s="4" t="s">
        <v>220</v>
      </c>
      <c r="C64" s="4" t="s">
        <v>542</v>
      </c>
      <c r="D64" s="4" t="s">
        <v>198</v>
      </c>
      <c r="E64" s="4" t="s">
        <v>543</v>
      </c>
    </row>
    <row r="65" spans="1:5" ht="56" customHeight="1">
      <c r="A65" s="4" t="s">
        <v>437</v>
      </c>
      <c r="B65" s="4" t="s">
        <v>556</v>
      </c>
      <c r="C65" s="4" t="s">
        <v>557</v>
      </c>
      <c r="D65" s="4" t="s">
        <v>558</v>
      </c>
      <c r="E65" s="4" t="s">
        <v>141</v>
      </c>
    </row>
    <row r="66" spans="1:5" ht="56" customHeight="1">
      <c r="A66" s="4" t="s">
        <v>441</v>
      </c>
      <c r="B66" s="4" t="s">
        <v>224</v>
      </c>
      <c r="C66" s="4" t="s">
        <v>559</v>
      </c>
      <c r="D66" s="4" t="s">
        <v>560</v>
      </c>
      <c r="E66" s="4" t="s">
        <v>561</v>
      </c>
    </row>
    <row r="67" spans="1:5" ht="56" customHeight="1">
      <c r="A67" s="4" t="s">
        <v>107</v>
      </c>
      <c r="B67" s="4" t="s">
        <v>224</v>
      </c>
      <c r="C67" s="4" t="s">
        <v>542</v>
      </c>
      <c r="D67" s="4" t="s">
        <v>198</v>
      </c>
      <c r="E67" s="4" t="s">
        <v>543</v>
      </c>
    </row>
    <row r="68" spans="1:5" ht="56" customHeight="1">
      <c r="A68" s="4" t="s">
        <v>437</v>
      </c>
      <c r="B68" s="4" t="s">
        <v>562</v>
      </c>
      <c r="C68" s="4" t="s">
        <v>563</v>
      </c>
      <c r="D68" s="4" t="s">
        <v>143</v>
      </c>
      <c r="E68" s="4" t="s">
        <v>229</v>
      </c>
    </row>
    <row r="69" spans="1:5" ht="56" customHeight="1">
      <c r="A69" s="4" t="s">
        <v>441</v>
      </c>
      <c r="B69" s="4" t="s">
        <v>228</v>
      </c>
      <c r="C69" s="4" t="s">
        <v>564</v>
      </c>
      <c r="D69" s="4" t="s">
        <v>565</v>
      </c>
      <c r="E69" s="4" t="s">
        <v>566</v>
      </c>
    </row>
    <row r="70" spans="1:5" ht="56" customHeight="1">
      <c r="A70" s="4" t="s">
        <v>107</v>
      </c>
      <c r="B70" s="4" t="s">
        <v>228</v>
      </c>
      <c r="C70" s="4" t="s">
        <v>542</v>
      </c>
      <c r="D70" s="4" t="s">
        <v>198</v>
      </c>
      <c r="E70" s="4" t="s">
        <v>543</v>
      </c>
    </row>
    <row r="71" spans="1:5" ht="56" customHeight="1">
      <c r="A71" s="4" t="s">
        <v>437</v>
      </c>
      <c r="B71" s="4" t="s">
        <v>567</v>
      </c>
      <c r="C71" s="4" t="s">
        <v>563</v>
      </c>
      <c r="D71" s="4" t="s">
        <v>143</v>
      </c>
      <c r="E71" s="4" t="s">
        <v>229</v>
      </c>
    </row>
    <row r="72" spans="1:5" ht="56" customHeight="1">
      <c r="A72" s="4" t="s">
        <v>441</v>
      </c>
      <c r="B72" s="4" t="s">
        <v>233</v>
      </c>
      <c r="C72" s="4" t="s">
        <v>568</v>
      </c>
      <c r="D72" s="4" t="s">
        <v>569</v>
      </c>
      <c r="E72" s="4" t="s">
        <v>570</v>
      </c>
    </row>
    <row r="73" spans="1:5" ht="56" customHeight="1">
      <c r="A73" s="4" t="s">
        <v>107</v>
      </c>
      <c r="B73" s="4" t="s">
        <v>233</v>
      </c>
      <c r="C73" s="4" t="s">
        <v>542</v>
      </c>
      <c r="D73" s="4" t="s">
        <v>198</v>
      </c>
      <c r="E73" s="4" t="s">
        <v>543</v>
      </c>
    </row>
    <row r="74" spans="1:5" ht="56" customHeight="1">
      <c r="A74" s="4" t="s">
        <v>437</v>
      </c>
      <c r="B74" s="4" t="s">
        <v>571</v>
      </c>
      <c r="C74" s="4" t="s">
        <v>563</v>
      </c>
      <c r="D74" s="4" t="s">
        <v>143</v>
      </c>
      <c r="E74" s="4" t="s">
        <v>229</v>
      </c>
    </row>
    <row r="75" spans="1:5" ht="56" customHeight="1">
      <c r="A75" s="4" t="s">
        <v>441</v>
      </c>
      <c r="B75" s="4" t="s">
        <v>237</v>
      </c>
      <c r="C75" s="4" t="s">
        <v>572</v>
      </c>
      <c r="D75" s="4" t="s">
        <v>573</v>
      </c>
      <c r="E75" s="4" t="s">
        <v>574</v>
      </c>
    </row>
    <row r="76" spans="1:5" ht="56" customHeight="1">
      <c r="A76" s="4" t="s">
        <v>107</v>
      </c>
      <c r="B76" s="4" t="s">
        <v>237</v>
      </c>
      <c r="C76" s="4" t="s">
        <v>542</v>
      </c>
      <c r="D76" s="4" t="s">
        <v>198</v>
      </c>
      <c r="E76" s="4" t="s">
        <v>543</v>
      </c>
    </row>
    <row r="77" spans="1:5" ht="56" customHeight="1">
      <c r="A77" s="4" t="s">
        <v>437</v>
      </c>
      <c r="B77" s="4" t="s">
        <v>575</v>
      </c>
      <c r="C77" s="4" t="s">
        <v>563</v>
      </c>
      <c r="D77" s="4" t="s">
        <v>143</v>
      </c>
      <c r="E77" s="4" t="s">
        <v>229</v>
      </c>
    </row>
    <row r="78" spans="1:5" ht="56" customHeight="1">
      <c r="A78" s="4" t="s">
        <v>441</v>
      </c>
      <c r="B78" s="4" t="s">
        <v>241</v>
      </c>
      <c r="C78" s="4" t="s">
        <v>576</v>
      </c>
      <c r="D78" s="4" t="s">
        <v>577</v>
      </c>
      <c r="E78" s="4" t="s">
        <v>578</v>
      </c>
    </row>
    <row r="79" spans="1:5" ht="56" customHeight="1">
      <c r="A79" s="4" t="s">
        <v>107</v>
      </c>
      <c r="B79" s="4" t="s">
        <v>241</v>
      </c>
      <c r="C79" s="4" t="s">
        <v>542</v>
      </c>
      <c r="D79" s="4" t="s">
        <v>198</v>
      </c>
      <c r="E79" s="4" t="s">
        <v>543</v>
      </c>
    </row>
    <row r="80" spans="1:5" ht="56" customHeight="1">
      <c r="A80" s="4" t="s">
        <v>579</v>
      </c>
      <c r="B80" s="4" t="s">
        <v>580</v>
      </c>
      <c r="C80" s="4" t="s">
        <v>581</v>
      </c>
      <c r="D80" s="4" t="s">
        <v>582</v>
      </c>
      <c r="E80" s="4" t="s">
        <v>583</v>
      </c>
    </row>
    <row r="81" spans="1:5" ht="56" customHeight="1">
      <c r="A81" s="4" t="s">
        <v>579</v>
      </c>
      <c r="B81" s="4" t="s">
        <v>584</v>
      </c>
      <c r="C81" s="4" t="s">
        <v>585</v>
      </c>
      <c r="D81" s="4" t="s">
        <v>586</v>
      </c>
      <c r="E81" s="4" t="s">
        <v>583</v>
      </c>
    </row>
    <row r="82" spans="1:5" ht="56" customHeight="1">
      <c r="A82" s="4" t="s">
        <v>579</v>
      </c>
      <c r="B82" s="4" t="s">
        <v>587</v>
      </c>
      <c r="C82" s="4" t="s">
        <v>588</v>
      </c>
      <c r="D82" s="4" t="s">
        <v>589</v>
      </c>
      <c r="E82" s="4" t="s">
        <v>583</v>
      </c>
    </row>
    <row r="83" spans="1:5" ht="56" customHeight="1">
      <c r="A83" s="4" t="s">
        <v>579</v>
      </c>
      <c r="B83" s="4" t="s">
        <v>590</v>
      </c>
      <c r="C83" s="4" t="s">
        <v>591</v>
      </c>
      <c r="D83" s="4" t="s">
        <v>592</v>
      </c>
      <c r="E83" s="4" t="s">
        <v>583</v>
      </c>
    </row>
    <row r="84" spans="1:5" ht="56" customHeight="1">
      <c r="A84" s="4" t="s">
        <v>579</v>
      </c>
      <c r="B84" s="4" t="s">
        <v>590</v>
      </c>
      <c r="C84" s="4" t="s">
        <v>593</v>
      </c>
      <c r="D84" s="4" t="s">
        <v>594</v>
      </c>
      <c r="E84" s="4" t="s">
        <v>583</v>
      </c>
    </row>
    <row r="85" spans="1:5" ht="56" customHeight="1">
      <c r="A85" s="4" t="s">
        <v>579</v>
      </c>
      <c r="B85" s="4" t="s">
        <v>590</v>
      </c>
      <c r="C85" s="4" t="s">
        <v>595</v>
      </c>
      <c r="D85" s="4" t="s">
        <v>596</v>
      </c>
      <c r="E85" s="4" t="s">
        <v>583</v>
      </c>
    </row>
    <row r="86" spans="1:5" ht="56" customHeight="1">
      <c r="A86" s="4" t="s">
        <v>579</v>
      </c>
      <c r="B86" s="4" t="s">
        <v>590</v>
      </c>
      <c r="C86" s="4" t="s">
        <v>597</v>
      </c>
      <c r="D86" s="4" t="s">
        <v>598</v>
      </c>
      <c r="E86" s="4" t="s">
        <v>583</v>
      </c>
    </row>
    <row r="87" spans="1:5" ht="56" customHeight="1">
      <c r="A87" s="4" t="s">
        <v>579</v>
      </c>
      <c r="B87" s="4" t="s">
        <v>590</v>
      </c>
      <c r="C87" s="4" t="s">
        <v>599</v>
      </c>
      <c r="D87" s="4" t="s">
        <v>600</v>
      </c>
      <c r="E87" s="4" t="s">
        <v>583</v>
      </c>
    </row>
    <row r="88" spans="1:5" ht="56" customHeight="1">
      <c r="A88" s="4" t="s">
        <v>579</v>
      </c>
      <c r="B88" s="4" t="s">
        <v>590</v>
      </c>
      <c r="C88" s="4" t="s">
        <v>601</v>
      </c>
      <c r="D88" s="4" t="s">
        <v>602</v>
      </c>
      <c r="E88" s="4" t="s">
        <v>583</v>
      </c>
    </row>
    <row r="89" spans="1:5" ht="56" customHeight="1">
      <c r="A89" s="4" t="s">
        <v>579</v>
      </c>
      <c r="B89" s="4" t="s">
        <v>603</v>
      </c>
      <c r="C89" s="4" t="s">
        <v>604</v>
      </c>
      <c r="D89" s="4" t="s">
        <v>605</v>
      </c>
      <c r="E89" s="4" t="s">
        <v>583</v>
      </c>
    </row>
    <row r="90" spans="1:5" ht="56" customHeight="1">
      <c r="A90" s="4" t="s">
        <v>579</v>
      </c>
      <c r="B90" s="4" t="s">
        <v>606</v>
      </c>
      <c r="C90" s="4" t="s">
        <v>607</v>
      </c>
      <c r="D90" s="4" t="s">
        <v>608</v>
      </c>
      <c r="E90" s="4" t="s">
        <v>583</v>
      </c>
    </row>
    <row r="91" spans="1:5" ht="56" customHeight="1">
      <c r="A91" s="4" t="s">
        <v>579</v>
      </c>
      <c r="B91" s="4" t="s">
        <v>606</v>
      </c>
      <c r="C91" s="4" t="s">
        <v>609</v>
      </c>
      <c r="D91" s="4" t="s">
        <v>610</v>
      </c>
      <c r="E91" s="4" t="s">
        <v>583</v>
      </c>
    </row>
    <row r="92" spans="1:5" ht="56" customHeight="1">
      <c r="A92" s="4" t="s">
        <v>579</v>
      </c>
      <c r="B92" s="4" t="s">
        <v>606</v>
      </c>
      <c r="C92" s="4" t="s">
        <v>611</v>
      </c>
      <c r="D92" s="4" t="s">
        <v>612</v>
      </c>
      <c r="E92" s="4" t="s">
        <v>583</v>
      </c>
    </row>
    <row r="93" spans="1:5" ht="56" customHeight="1">
      <c r="A93" s="4" t="s">
        <v>579</v>
      </c>
      <c r="B93" s="4" t="s">
        <v>606</v>
      </c>
      <c r="C93" s="4" t="s">
        <v>613</v>
      </c>
      <c r="D93" s="4" t="s">
        <v>614</v>
      </c>
      <c r="E93" s="4" t="s">
        <v>583</v>
      </c>
    </row>
    <row r="94" spans="1:5" ht="56" customHeight="1">
      <c r="A94" s="4" t="s">
        <v>579</v>
      </c>
      <c r="B94" s="4" t="s">
        <v>606</v>
      </c>
      <c r="C94" s="4" t="s">
        <v>615</v>
      </c>
      <c r="D94" s="4" t="s">
        <v>616</v>
      </c>
      <c r="E94" s="4" t="s">
        <v>583</v>
      </c>
    </row>
    <row r="95" spans="1:5" ht="56" customHeight="1">
      <c r="A95" s="4" t="s">
        <v>579</v>
      </c>
      <c r="B95" s="4" t="s">
        <v>606</v>
      </c>
      <c r="C95" s="4" t="s">
        <v>617</v>
      </c>
      <c r="D95" s="4" t="s">
        <v>618</v>
      </c>
      <c r="E95" s="4" t="s">
        <v>583</v>
      </c>
    </row>
    <row r="96" spans="1:5" ht="56" customHeight="1">
      <c r="A96" s="4" t="s">
        <v>579</v>
      </c>
      <c r="B96" s="4" t="s">
        <v>606</v>
      </c>
      <c r="C96" s="4" t="s">
        <v>619</v>
      </c>
      <c r="D96" s="4" t="s">
        <v>620</v>
      </c>
      <c r="E96" s="4" t="s">
        <v>583</v>
      </c>
    </row>
    <row r="97" spans="1:5" ht="56" customHeight="1">
      <c r="A97" s="4" t="s">
        <v>579</v>
      </c>
      <c r="B97" s="4" t="s">
        <v>606</v>
      </c>
      <c r="C97" s="4" t="s">
        <v>621</v>
      </c>
      <c r="D97" s="4" t="s">
        <v>622</v>
      </c>
      <c r="E97" s="4" t="s">
        <v>583</v>
      </c>
    </row>
    <row r="98" spans="1:5" ht="56" customHeight="1">
      <c r="A98" s="4" t="s">
        <v>579</v>
      </c>
      <c r="B98" s="4" t="s">
        <v>606</v>
      </c>
      <c r="C98" s="4" t="s">
        <v>623</v>
      </c>
      <c r="D98" s="4" t="s">
        <v>624</v>
      </c>
      <c r="E98" s="4" t="s">
        <v>583</v>
      </c>
    </row>
    <row r="99" spans="1:5" ht="56" customHeight="1">
      <c r="A99" s="4" t="s">
        <v>579</v>
      </c>
      <c r="B99" s="4" t="s">
        <v>606</v>
      </c>
      <c r="C99" s="4" t="s">
        <v>625</v>
      </c>
      <c r="D99" s="4" t="s">
        <v>626</v>
      </c>
      <c r="E99" s="4" t="s">
        <v>583</v>
      </c>
    </row>
    <row r="100" spans="1:5" ht="56" customHeight="1">
      <c r="A100" s="4" t="s">
        <v>579</v>
      </c>
      <c r="B100" s="4" t="s">
        <v>606</v>
      </c>
      <c r="C100" s="4" t="s">
        <v>627</v>
      </c>
      <c r="D100" s="4" t="s">
        <v>628</v>
      </c>
      <c r="E100" s="4" t="s">
        <v>583</v>
      </c>
    </row>
    <row r="101" spans="1:5" ht="56" customHeight="1">
      <c r="A101" s="4" t="s">
        <v>579</v>
      </c>
      <c r="B101" s="4" t="s">
        <v>606</v>
      </c>
      <c r="C101" s="4" t="s">
        <v>629</v>
      </c>
      <c r="D101" s="4" t="s">
        <v>630</v>
      </c>
      <c r="E101" s="4" t="s">
        <v>583</v>
      </c>
    </row>
    <row r="102" spans="1:5" ht="56" customHeight="1">
      <c r="A102" s="4" t="s">
        <v>579</v>
      </c>
      <c r="B102" s="4" t="s">
        <v>606</v>
      </c>
      <c r="C102" s="4" t="s">
        <v>631</v>
      </c>
      <c r="D102" s="4" t="s">
        <v>632</v>
      </c>
      <c r="E102" s="4" t="s">
        <v>583</v>
      </c>
    </row>
    <row r="103" spans="1:5" ht="56" customHeight="1">
      <c r="A103" s="4" t="s">
        <v>579</v>
      </c>
      <c r="B103" s="4" t="s">
        <v>606</v>
      </c>
      <c r="C103" s="4" t="s">
        <v>633</v>
      </c>
      <c r="D103" s="4" t="s">
        <v>634</v>
      </c>
      <c r="E103" s="4" t="s">
        <v>583</v>
      </c>
    </row>
    <row r="104" spans="1:5" ht="56" customHeight="1">
      <c r="A104" s="4" t="s">
        <v>579</v>
      </c>
      <c r="B104" s="4" t="s">
        <v>606</v>
      </c>
      <c r="C104" s="4" t="s">
        <v>635</v>
      </c>
      <c r="D104" s="4" t="s">
        <v>636</v>
      </c>
      <c r="E104" s="4" t="s">
        <v>583</v>
      </c>
    </row>
    <row r="105" spans="1:5" ht="56" customHeight="1">
      <c r="A105" s="4" t="s">
        <v>579</v>
      </c>
      <c r="B105" s="4" t="s">
        <v>606</v>
      </c>
      <c r="C105" s="4" t="s">
        <v>637</v>
      </c>
      <c r="D105" s="4" t="s">
        <v>638</v>
      </c>
      <c r="E105" s="4" t="s">
        <v>583</v>
      </c>
    </row>
    <row r="106" spans="1:5" ht="56" customHeight="1">
      <c r="A106" s="4" t="s">
        <v>579</v>
      </c>
      <c r="B106" s="4" t="s">
        <v>606</v>
      </c>
      <c r="C106" s="4" t="s">
        <v>639</v>
      </c>
      <c r="D106" s="4" t="s">
        <v>640</v>
      </c>
      <c r="E106" s="4" t="s">
        <v>583</v>
      </c>
    </row>
    <row r="107" spans="1:5" ht="56" customHeight="1">
      <c r="A107" s="4" t="s">
        <v>579</v>
      </c>
      <c r="B107" s="4" t="s">
        <v>606</v>
      </c>
      <c r="C107" s="4" t="s">
        <v>641</v>
      </c>
      <c r="D107" s="4" t="s">
        <v>642</v>
      </c>
      <c r="E107" s="4" t="s">
        <v>583</v>
      </c>
    </row>
    <row r="108" spans="1:5" ht="56" customHeight="1">
      <c r="A108" s="4" t="s">
        <v>579</v>
      </c>
      <c r="B108" s="4" t="s">
        <v>606</v>
      </c>
      <c r="C108" s="4" t="s">
        <v>643</v>
      </c>
      <c r="D108" s="4" t="s">
        <v>644</v>
      </c>
      <c r="E108" s="4" t="s">
        <v>583</v>
      </c>
    </row>
    <row r="109" spans="1:5" ht="56" customHeight="1">
      <c r="A109" s="4" t="s">
        <v>579</v>
      </c>
      <c r="B109" s="4" t="s">
        <v>606</v>
      </c>
      <c r="C109" s="4" t="s">
        <v>645</v>
      </c>
      <c r="D109" s="4" t="s">
        <v>646</v>
      </c>
      <c r="E109" s="4" t="s">
        <v>583</v>
      </c>
    </row>
    <row r="110" spans="1:5" ht="56" customHeight="1">
      <c r="A110" s="4" t="s">
        <v>579</v>
      </c>
      <c r="B110" s="4" t="s">
        <v>606</v>
      </c>
      <c r="C110" s="4" t="s">
        <v>647</v>
      </c>
      <c r="D110" s="4" t="s">
        <v>648</v>
      </c>
      <c r="E110" s="4" t="s">
        <v>583</v>
      </c>
    </row>
    <row r="111" spans="1:5" ht="56" customHeight="1">
      <c r="A111" s="4" t="s">
        <v>579</v>
      </c>
      <c r="B111" s="4" t="s">
        <v>606</v>
      </c>
      <c r="C111" s="4" t="s">
        <v>649</v>
      </c>
      <c r="D111" s="4" t="s">
        <v>650</v>
      </c>
      <c r="E111" s="4" t="s">
        <v>583</v>
      </c>
    </row>
    <row r="112" spans="1:5" ht="56" customHeight="1">
      <c r="A112" s="4" t="s">
        <v>579</v>
      </c>
      <c r="B112" s="4" t="s">
        <v>606</v>
      </c>
      <c r="C112" s="4" t="s">
        <v>651</v>
      </c>
      <c r="D112" s="4" t="s">
        <v>652</v>
      </c>
      <c r="E112" s="4" t="s">
        <v>583</v>
      </c>
    </row>
    <row r="113" spans="1:5" ht="56" customHeight="1">
      <c r="A113" s="4" t="s">
        <v>579</v>
      </c>
      <c r="B113" s="4" t="s">
        <v>606</v>
      </c>
      <c r="C113" s="4" t="s">
        <v>653</v>
      </c>
      <c r="D113" s="4" t="s">
        <v>654</v>
      </c>
      <c r="E113" s="4" t="s">
        <v>583</v>
      </c>
    </row>
  </sheetData>
  <mergeCells count="2">
    <mergeCell ref="A1:E2"/>
    <mergeCell ref="A3:E3"/>
  </mergeCells>
  <pageMargins left="0.3" right="0.3" top="0.4" bottom="0.4" header="0.3" footer="0.3"/>
  <pageSetup paperSize="9" fitToHeight="0" orientation="landscape"/>
  <headerFooter>
    <oddFooter>&amp;L ASR-Direct-v1 | regular200 搜索集 &amp;R 第 &amp;P / &amp;N 页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9</vt:i4>
      </vt:variant>
    </vt:vector>
  </HeadingPairs>
  <TitlesOfParts>
    <vt:vector size="17" baseType="lpstr">
      <vt:lpstr>汇总概览</vt:lpstr>
      <vt:lpstr>实验设置</vt:lpstr>
      <vt:lpstr>候选结果</vt:lpstr>
      <vt:lpstr>结构配置</vt:lpstr>
      <vt:lpstr>逐轮结果</vt:lpstr>
      <vt:lpstr>最优候选详解</vt:lpstr>
      <vt:lpstr>论文文字与说明</vt:lpstr>
      <vt:lpstr>数据来源</vt:lpstr>
      <vt:lpstr>汇总概览!Print_Area</vt:lpstr>
      <vt:lpstr>候选结果!Print_Titles</vt:lpstr>
      <vt:lpstr>实验设置!Print_Titles</vt:lpstr>
      <vt:lpstr>数据来源!Print_Titles</vt:lpstr>
      <vt:lpstr>最优候选详解!Print_Titles</vt:lpstr>
      <vt:lpstr>汇总概览!Print_Titles</vt:lpstr>
      <vt:lpstr>结构配置!Print_Titles</vt:lpstr>
      <vt:lpstr>论文文字与说明!Print_Titles</vt:lpstr>
      <vt:lpstr>逐轮结果!Print_Titles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ASR-Direct-v1 实验结果与论文材料</dc:title>
  <dc:subject>TED-LIUM 3 Zipformer architecture search</dc:subject>
  <dc:creator>实验结果整理</dc:creator>
  <dc:description>只读采集实验产物；未评测候选不填虚构分数。</dc:description>
  <cp:lastModifiedBy>实验结果整理</cp:lastModifiedBy>
  <dcterms:created xsi:type="dcterms:W3CDTF">2026-09-17T05:52:42Z</dcterms:created>
  <dcterms:modified xsi:type="dcterms:W3CDTF">2026-09-17T05:52:42Z</dcterms:modified>
</cp:coreProperties>
</file>